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ustos" sheetId="2" state="visible" r:id="rId2"/>
    <sheet xmlns:r="http://schemas.openxmlformats.org/officeDocument/2006/relationships" name="Planejamento" sheetId="3" state="visible" r:id="rId3"/>
    <sheet xmlns:r="http://schemas.openxmlformats.org/officeDocument/2006/relationships" name="Horas" sheetId="4" state="visible" r:id="rId4"/>
    <sheet xmlns:r="http://schemas.openxmlformats.org/officeDocument/2006/relationships" name="Sumário EVM" sheetId="5" state="visible" r:id="rId5"/>
    <sheet xmlns:r="http://schemas.openxmlformats.org/officeDocument/2006/relationships" name="EVM - Valor Agregado" sheetId="6" state="visible" r:id="rId6"/>
    <sheet xmlns:r="http://schemas.openxmlformats.org/officeDocument/2006/relationships" name="EVM - Velocity" sheetId="7" state="visible" r:id="rId7"/>
    <sheet xmlns:r="http://schemas.openxmlformats.org/officeDocument/2006/relationships" name="EVM - Índices e Burndow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&quot; #,##0.00"/>
    <numFmt numFmtId="165" formatCode="#,##0.##"/>
    <numFmt numFmtId="166" formatCode="yyyy-mm-dd h:mm:ss"/>
    <numFmt numFmtId="167" formatCode="dd/mm/yyyy"/>
    <numFmt numFmtId="168" formatCode="0.0"/>
    <numFmt numFmtId="169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1F3A5F"/>
      <sz val="10"/>
    </font>
    <font>
      <name val="Arial"/>
      <i val="1"/>
      <sz val="10"/>
    </font>
    <font>
      <name val="Arial"/>
      <b val="1"/>
      <color rgb="001F3A5F"/>
      <sz val="15"/>
    </font>
    <font>
      <name val="Arial"/>
      <i val="1"/>
      <color rgb="0052514E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A6A8F"/>
      </patternFill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8EEF5"/>
      </patternFill>
    </fill>
    <fill>
      <patternFill patternType="solid">
        <fgColor rgb="00EEF3F8"/>
      </patternFill>
    </fill>
    <fill>
      <patternFill patternType="solid">
        <fgColor rgb="00F7F3EA"/>
      </patternFill>
    </fill>
    <fill>
      <patternFill patternType="solid">
        <fgColor rgb="00EEF6EF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3" borderId="0" pivotButton="0" quotePrefix="0" xfId="0"/>
    <xf numFmtId="0" fontId="0" fillId="3" borderId="0" pivotButton="0" quotePrefix="0" xfId="0"/>
    <xf numFmtId="0" fontId="4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2" fontId="3" fillId="4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7" fontId="1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1" fontId="3" fillId="4" borderId="1" applyAlignment="1" pivotButton="0" quotePrefix="0" xfId="0">
      <alignment vertical="top" wrapText="1"/>
    </xf>
    <xf numFmtId="1" fontId="2" fillId="5" borderId="1" applyAlignment="1" pivotButton="0" quotePrefix="0" xfId="0">
      <alignment vertical="top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8" fontId="3" fillId="4" borderId="1" applyAlignment="1" pivotButton="0" quotePrefix="0" xfId="0">
      <alignment vertical="top" wrapText="1"/>
    </xf>
    <xf numFmtId="167" fontId="3" fillId="4" borderId="1" applyAlignment="1" pivotButton="0" quotePrefix="0" xfId="0">
      <alignment vertical="top" wrapText="1"/>
    </xf>
    <xf numFmtId="167" fontId="2" fillId="5" borderId="1" applyAlignment="1" pivotButton="0" quotePrefix="0" xfId="0">
      <alignment vertical="top" wrapText="1"/>
    </xf>
    <xf numFmtId="2" fontId="2" fillId="5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3" fillId="6" borderId="1" applyAlignment="1" pivotButton="0" quotePrefix="0" xfId="0">
      <alignment vertical="top" wrapText="1"/>
    </xf>
    <xf numFmtId="1" fontId="3" fillId="6" borderId="1" applyAlignment="1" pivotButton="0" quotePrefix="0" xfId="0">
      <alignment vertical="top" wrapText="1"/>
    </xf>
    <xf numFmtId="169" fontId="2" fillId="5" borderId="1" applyAlignment="1" pivotButton="0" quotePrefix="0" xfId="0">
      <alignment vertical="top" wrapText="1"/>
    </xf>
    <xf numFmtId="168" fontId="2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1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1" fontId="3" fillId="8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Velocity: planejado × concluído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'EVM - Velocity'!D1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'EVM - Velocity'!$A$2:$A$13</f>
            </numRef>
          </cat>
          <val>
            <numRef>
              <f>'EVM - Velocity'!$D$2:$D$13</f>
            </numRef>
          </val>
        </ser>
        <ser>
          <idx val="1"/>
          <order val="1"/>
          <tx>
            <strRef>
              <f>'EVM - Velocity'!E1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'EVM - Velocity'!$A$2:$A$13</f>
            </numRef>
          </cat>
          <val>
            <numRef>
              <f>'EVM - Velocity'!$E$2:$E$13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Índices de desempenho (SPI e CPI)</a:t>
            </a:r>
          </a:p>
        </rich>
      </tx>
    </title>
    <plotArea>
      <lineChart>
        <grouping val="standard"/>
        <ser>
          <idx val="0"/>
          <order val="0"/>
          <tx>
            <strRef>
              <f>'EVM - Índices e Burndown'!C1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- Índices e Burndown'!$A$2:$A$13</f>
            </numRef>
          </cat>
          <val>
            <numRef>
              <f>'EVM - Índices e Burndown'!$C$2:$C$13</f>
            </numRef>
          </val>
        </ser>
        <ser>
          <idx val="1"/>
          <order val="1"/>
          <tx>
            <strRef>
              <f>'EVM - Índices e Burndown'!D1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- Índices e Burndown'!$A$2:$A$13</f>
            </numRef>
          </cat>
          <val>
            <numRef>
              <f>'EVM - Índices e Burndown'!$D$2:$D$13</f>
            </numRef>
          </val>
        </ser>
        <ser>
          <idx val="2"/>
          <order val="2"/>
          <tx>
            <strRef>
              <f>'EVM - Índices e Burndown'!E1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- Índices e Burndown'!$A$2:$A$13</f>
            </numRef>
          </cat>
          <val>
            <numRef>
              <f>'EVM - Índices e Burndown'!$E$2:$E$13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por release</a:t>
            </a:r>
          </a:p>
        </rich>
      </tx>
    </title>
    <plotArea>
      <lineChart>
        <grouping val="standard"/>
        <ser>
          <idx val="0"/>
          <order val="0"/>
          <tx>
            <strRef>
              <f>'EVM - Índices e Burndown'!G1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- Índices e Burndown'!$A$2:$A$13</f>
            </numRef>
          </cat>
          <val>
            <numRef>
              <f>'EVM - Índices e Burndown'!$G$2:$G$13</f>
            </numRef>
          </val>
        </ser>
        <ser>
          <idx val="1"/>
          <order val="1"/>
          <tx>
            <strRef>
              <f>'EVM - Índices e Burndown'!H1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- Índices e Burndown'!$A$2:$A$13</f>
            </numRef>
          </cat>
          <val>
            <numRef>
              <f>'EVM - Índices e Burndown'!$H$2:$H$13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Pontos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Gestão MSG 2026.2</author>
  </authors>
  <commentList>
    <comment ref="A1" authorId="0" shapeId="0">
      <text>
        <t>Nome usado pelas fórmulas e pelo dashboard. Não renomear.</t>
      </text>
    </comment>
    <comment ref="D1" authorId="0" shapeId="0">
      <text>
        <t>Amarelo = premissa (pode ajustar). Azul-claro = calculado.</t>
      </text>
    </comment>
    <comment ref="F1" authorId="0" shapeId="0">
      <text>
        <t>De onde veio o valor.</t>
      </text>
    </comment>
    <comment ref="G1" authorId="0" shapeId="0">
      <text>
        <t>Como o valor é calculado.</t>
      </text>
    </comment>
  </commentList>
</comments>
</file>

<file path=xl/comments/comment2.xml><?xml version="1.0" encoding="utf-8"?>
<comments xmlns="http://schemas.openxmlformats.org/spreadsheetml/2006/main">
  <authors>
    <author>Gestão MSG 2026.2</author>
  </authors>
  <commentList>
    <comment ref="A1" authorId="0" shapeId="0">
      <text>
        <t>Um nome por linha. Para quem sair do time, trocar o 1 por 0 a partir da semana de saída.</t>
      </text>
    </comment>
    <comment ref="P1" authorId="0" shapeId="0">
      <text>
        <t>Quantas semanas a pessoa está no time.</t>
      </text>
    </comment>
    <comment ref="A33" authorId="0" shapeId="0">
      <text>
        <t>Custo da semana = integrantes ativos × custo de um integrante por semana (aba Custos) + infraestrutura.</t>
      </text>
    </comment>
  </commentList>
</comments>
</file>

<file path=xl/comments/comment3.xml><?xml version="1.0" encoding="utf-8"?>
<comments xmlns="http://schemas.openxmlformats.org/spreadsheetml/2006/main">
  <authors>
    <author>Gestão MSG 2026.2</author>
  </authors>
  <commentList>
    <comment ref="A1" authorId="0" shapeId="0">
      <text>
        <t>Número da sprint (1 a 12).</t>
      </text>
    </comment>
    <comment ref="B1" authorId="0" shapeId="0">
      <text>
        <t>Nome igual ao da aba Planejamento.</t>
      </text>
    </comment>
    <comment ref="C1" authorId="0" shapeId="0">
      <text>
        <t>Horas dedicadas ao projeto na sprint: aula, reuniões, código, revisão, documentação. Opcional: sem horas, o AC da sprint usa o custo planejado (como em 2026.1).</t>
      </text>
    </comment>
  </commentList>
</comments>
</file>

<file path=xl/comments/comment4.xml><?xml version="1.0" encoding="utf-8"?>
<comments xmlns="http://schemas.openxmlformats.org/spreadsheetml/2006/main">
  <authors>
    <author>Gestão MSG 2026.2</author>
  </authors>
  <commentList>
    <comment ref="B1" authorId="0" shapeId="0">
      <text>
        <t>Data da release no plano de ensino.</t>
      </text>
    </comment>
    <comment ref="C1" authorId="0" shapeId="0">
      <text>
        <t>Início da primeira sprint da release (aba EVM - Valor Agregado).</t>
      </text>
    </comment>
    <comment ref="D1" authorId="0" shapeId="0">
      <text>
        <t>Fim da última sprint da release.</t>
      </text>
    </comment>
    <comment ref="E1" authorId="0" shapeId="0">
      <text>
        <t>Quantidade de sprints da release.</t>
      </text>
    </comment>
    <comment ref="G1" authorId="0" shapeId="0">
      <text>
        <t>Planned Release Points: pontos planejados para a release, congelados na planning de abertura. R1: sem linha de base (sequenciador da Lean Inception não fechou) — usamos os pontos comprometidos na sprint 1.</t>
      </text>
    </comment>
    <comment ref="H1" authorId="0" shapeId="0">
      <text>
        <t>Linha de base + pontos adicionados (PA) até a última sprint preenchida.</t>
      </text>
    </comment>
    <comment ref="I1" authorId="0" shapeId="0">
      <text>
        <t>Release Points Completed até a última sprint preenchida.</t>
      </text>
    </comment>
    <comment ref="J1" authorId="0" shapeId="0">
      <text>
        <t>Budget at Completion = soma do custo planejado das semanas da release (aba Planejamento).</t>
      </text>
    </comment>
    <comment ref="K1" authorId="0" shapeId="0">
      <text>
        <t>Planned Value na última sprint preenchida.</t>
      </text>
    </comment>
    <comment ref="L1" authorId="0" shapeId="0">
      <text>
        <t>Earned Value na última sprint preenchida.</t>
      </text>
    </comment>
    <comment ref="M1" authorId="0" shapeId="0">
      <text>
        <t>Actual Cost na última sprint preenchida.</t>
      </text>
    </comment>
    <comment ref="N1" authorId="0" shapeId="0">
      <text>
        <t>EV ÷ PV. &lt; 1 = atrasado.</t>
      </text>
    </comment>
    <comment ref="O1" authorId="0" shapeId="0">
      <text>
        <t>EV ÷ AC. &lt; 1 = gastando mais do que entrega.</t>
      </text>
    </comment>
    <comment ref="P1" authorId="0" shapeId="0">
      <text>
        <t>Data em que a release terminaria no ritmo atual: início + duração ÷ SPI.</t>
      </text>
    </comment>
  </commentList>
</comments>
</file>

<file path=xl/comments/comment5.xml><?xml version="1.0" encoding="utf-8"?>
<comments xmlns="http://schemas.openxmlformats.org/spreadsheetml/2006/main">
  <authors>
    <author>Gestão MSG 2026.2</author>
  </authors>
  <commentList>
    <comment ref="C1" authorId="0" shapeId="0">
      <text>
        <t>Calendário do Zenhub.</t>
      </text>
    </comment>
    <comment ref="E1" authorId="0" shapeId="0">
      <text>
        <t>(fim − início + 1) ÷ 7</t>
      </text>
    </comment>
    <comment ref="F1" authorId="0" shapeId="0">
      <text>
        <t>Principais US/Tasks da sprint (Zenhub).</t>
      </text>
    </comment>
    <comment ref="G1" authorId="0" shapeId="0">
      <text>
        <t>Fonte: Zenhub, ao fim da sprint. Soma das estimativas das US (Feature), Tasks e Bugs da sprint. Não contam Épicos, Sub-tasks, PRs nem Task que tem Task filha.</t>
      </text>
    </comment>
    <comment ref="H1" authorId="0" shapeId="0">
      <text>
        <t>Fonte: Zenhub. Pontos das issues fechadas (Closed) ou no pipeline Done ao fim da sprint. Issue que passa para a sprint seguinte conta como concluída só na sprint em que fechou.</t>
      </text>
    </comment>
    <comment ref="I1" authorId="0" shapeId="0">
      <text>
        <t>Pontos de issues novas que entraram na release nesta sprint (não estavam no PRP).</t>
      </text>
    </comment>
    <comment ref="J1" authorId="0" shapeId="0">
      <text>
        <t>PRP linha de base (Sumário EVM) + soma do PA da release até esta sprint.</t>
      </text>
    </comment>
    <comment ref="K1" authorId="0" shapeId="0">
      <text>
        <t>Soma do PC da release até esta sprint.</t>
      </text>
    </comment>
    <comment ref="L1" authorId="0" shapeId="0">
      <text>
        <t>RPC ÷ PRP</t>
      </text>
    </comment>
    <comment ref="M1" authorId="0" shapeId="0">
      <text>
        <t>Semanas da release até esta sprint ÷ semanas da release.</t>
      </text>
    </comment>
    <comment ref="N1" authorId="0" shapeId="0">
      <text>
        <t>Orçamento da release (Sumário EVM).</t>
      </text>
    </comment>
    <comment ref="O1" authorId="0" shapeId="0">
      <text>
        <t>Custo planejado das semanas da sprint (aba Planejamento, linha 33).</t>
      </text>
    </comment>
    <comment ref="P1" authorId="0" shapeId="0">
      <text>
        <t>PPC × BAC</t>
      </text>
    </comment>
    <comment ref="Q1" authorId="0" shapeId="0">
      <text>
        <t>Soma da aba Horas para a sprint.</t>
      </text>
    </comment>
    <comment ref="R1" authorId="0" shapeId="0">
      <text>
        <t>Com horas: horas × custo/hora (aba Custos). Sem horas: SC (custo planejado).</t>
      </text>
    </comment>
    <comment ref="S1" authorId="0" shapeId="0">
      <text>
        <t>Soma do custo das sprints da release até esta.</t>
      </text>
    </comment>
    <comment ref="T1" authorId="0" shapeId="0">
      <text>
        <t>horas reais ou estimado (custo planejado).</t>
      </text>
    </comment>
    <comment ref="U1" authorId="0" shapeId="0">
      <text>
        <t>APC × BAC</t>
      </text>
    </comment>
    <comment ref="V1" authorId="0" shapeId="0">
      <text>
        <t>EV − AC. Negativo = acima do custo.</t>
      </text>
    </comment>
    <comment ref="W1" authorId="0" shapeId="0">
      <text>
        <t>EV − PV. Negativo = atrasado.</t>
      </text>
    </comment>
    <comment ref="X1" authorId="0" shapeId="0">
      <text>
        <t>EV ÷ AC</t>
      </text>
    </comment>
    <comment ref="Y1" authorId="0" shapeId="0">
      <text>
        <t>EV ÷ PV (= APC ÷ PPC)</t>
      </text>
    </comment>
    <comment ref="Z1" authorId="0" shapeId="0">
      <text>
        <t>(BAC − EV) ÷ CPI</t>
      </text>
    </comment>
    <comment ref="AA1" authorId="0" shapeId="0">
      <text>
        <t>AC + ETC</t>
      </text>
    </comment>
    <comment ref="AB1" authorId="0" shapeId="0">
      <text>
        <t>Término estimado da release: início + duração ÷ SPI.</t>
      </text>
    </comment>
  </commentList>
</comments>
</file>

<file path=xl/comments/comment6.xml><?xml version="1.0" encoding="utf-8"?>
<comments xmlns="http://schemas.openxmlformats.org/spreadsheetml/2006/main">
  <authors>
    <author>Gestão MSG 2026.2</author>
  </authors>
  <commentList>
    <comment ref="D1" authorId="0" shapeId="0">
      <text>
        <t>Da aba EVM - Valor Agregado.</t>
      </text>
    </comment>
    <comment ref="E1" authorId="0" shapeId="0">
      <text>
        <t>Da aba EVM - Valor Agregado.</t>
      </text>
    </comment>
    <comment ref="F1" authorId="0" shapeId="0">
      <text>
        <t>Velocity da sprint = PC (pontos entregues).</t>
      </text>
    </comment>
    <comment ref="G1" authorId="0" shapeId="0">
      <text>
        <t>PC ÷ semanas. Compara sprints de 2 semanas com as de 1 semana.</t>
      </text>
    </comment>
    <comment ref="H1" authorId="0" shapeId="0">
      <text>
        <t>Média dos pontos por semana das sprints preenchidas até esta.</t>
      </text>
    </comment>
    <comment ref="I1" authorId="0" shapeId="0">
      <text>
        <t>PC ÷ PP. Meta ≥ 80%.</t>
      </text>
    </comment>
  </commentList>
</comments>
</file>

<file path=xl/comments/comment7.xml><?xml version="1.0" encoding="utf-8"?>
<comments xmlns="http://schemas.openxmlformats.org/spreadsheetml/2006/main">
  <authors>
    <author>Gestão MSG 2026.2</author>
  </authors>
  <commentList>
    <comment ref="C1" authorId="0" shapeId="0">
      <text>
        <t>Da aba EVM - Valor Agregado. 1,00 = no prazo.</t>
      </text>
    </comment>
    <comment ref="D1" authorId="0" shapeId="0">
      <text>
        <t>Da aba EVM - Valor Agregado. 1,00 = no custo.</t>
      </text>
    </comment>
    <comment ref="G1" authorId="0" shapeId="0">
      <text>
        <t>PRP − RPC: quanto falta da release.</t>
      </text>
    </comment>
    <comment ref="H1" authorId="0" shapeId="0">
      <text>
        <t>PRP × (1 − PPC): quanto deveria faltar se o ritmo fosse o planejado.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000B3D2E"/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MeasureSoftGram 2026.2 · Custos e AgileEVM</t>
        </is>
      </c>
    </row>
    <row r="2" ht="45" customHeight="1">
      <c r="A2" s="2" t="inlineStr">
        <is>
          <t>Mesma estrutura da planilha de 2026.1 (Custos, Planejamento, Sumário EVM, Valor Agregado, Velocity, Índices e Burndown). Toda coluna tem uma nota no cabeçalho dizendo de onde vem o dado e como é calculado (passe o mouse no título).</t>
        </is>
      </c>
    </row>
    <row r="4">
      <c r="A4" s="3" t="inlineStr">
        <is>
          <t>Cores</t>
        </is>
      </c>
      <c r="B4" s="4" t="n"/>
    </row>
    <row r="5" ht="15" customHeight="1">
      <c r="A5" s="5" t="inlineStr">
        <is>
          <t>Amarelo</t>
        </is>
      </c>
      <c r="B5" s="6" t="inlineStr">
        <is>
          <t>Premissa ou dado de entrada: é o que o time preenche.</t>
        </is>
      </c>
    </row>
    <row r="6" ht="15" customHeight="1">
      <c r="A6" s="7" t="inlineStr">
        <is>
          <t>Azul-claro</t>
        </is>
      </c>
      <c r="B6" s="6" t="inlineStr">
        <is>
          <t>Calculado por fórmula. Não digitar por cima.</t>
        </is>
      </c>
    </row>
    <row r="8">
      <c r="A8" s="3" t="inlineStr">
        <is>
          <t>Abas</t>
        </is>
      </c>
      <c r="B8" s="4" t="n"/>
    </row>
    <row r="9" ht="30" customHeight="1">
      <c r="A9" s="8" t="inlineStr">
        <is>
          <t>Custos</t>
        </is>
      </c>
      <c r="B9" s="6" t="inlineStr">
        <is>
          <t>Premissas de custo (UnB, energia, internet, notebook, infraestrutura) → custo de um integrante por semana e custo/hora.</t>
        </is>
      </c>
    </row>
    <row r="10" ht="30" customHeight="1">
      <c r="A10" s="8" t="inlineStr">
        <is>
          <t>Planejamento</t>
        </is>
      </c>
      <c r="B10" s="6" t="inlineStr">
        <is>
          <t>Quem está no time em cada semana (1/0) → custo planejado de cada semana. É daqui que sai o orçamento (BAC).</t>
        </is>
      </c>
    </row>
    <row r="11" ht="30" customHeight="1">
      <c r="A11" s="8" t="inlineStr">
        <is>
          <t>Horas</t>
        </is>
      </c>
      <c r="B11" s="6" t="inlineStr">
        <is>
          <t>Opcional. Horas reais por pessoa e sprint. Com horas, o AC usa horas × custo/hora; sem horas, usa o custo planejado.</t>
        </is>
      </c>
    </row>
    <row r="12" ht="30" customHeight="1">
      <c r="A12" s="8" t="inlineStr">
        <is>
          <t>Sumário EVM</t>
        </is>
      </c>
      <c r="B12" s="6" t="inlineStr">
        <is>
          <t>Uma linha por release: linha de base (PRP), orçamento (BAC) e a situação na última sprint preenchida (SPI, CPI, término estimado).</t>
        </is>
      </c>
    </row>
    <row r="13" ht="30" customHeight="1">
      <c r="A13" s="8" t="inlineStr">
        <is>
          <t>EVM - Valor Agregado</t>
        </is>
      </c>
      <c r="B13" s="6" t="inlineStr">
        <is>
          <t>Uma linha por sprint com o AgileEVM completo. O time preenche só PP, PC e PA (amarelo) ao fim de cada sprint, a partir do Zenhub.</t>
        </is>
      </c>
    </row>
    <row r="14" ht="15" customHeight="1">
      <c r="A14" s="8" t="inlineStr">
        <is>
          <t>EVM - Velocity</t>
        </is>
      </c>
      <c r="B14" s="6" t="inlineStr">
        <is>
          <t>Velocity por sprint e média; gráfico de planejado × concluído.</t>
        </is>
      </c>
    </row>
    <row r="15" ht="15" customHeight="1">
      <c r="A15" s="8" t="inlineStr">
        <is>
          <t>EVM - Índices e Burndown</t>
        </is>
      </c>
      <c r="B15" s="6" t="inlineStr">
        <is>
          <t>SPI, CPI e burndown por sprint, com gráficos.</t>
        </is>
      </c>
    </row>
    <row r="17">
      <c r="A17" s="3" t="inlineStr">
        <is>
          <t>Rotina</t>
        </is>
      </c>
      <c r="B17" s="4" t="n"/>
    </row>
    <row r="18" ht="30" customHeight="1">
      <c r="A18" s="8" t="inlineStr">
        <is>
          <t>Fim de cada sprint</t>
        </is>
      </c>
      <c r="B18" s="6" t="inlineStr">
        <is>
          <t>1) Copiar PP, PC e PA do Zenhub para a aba EVM - Valor Agregado (o dashboard mostra os números prontos). 2) Se alguém saiu/entrou, ajustar a aba Planejamento. 3) (Opcional) lançar as horas.</t>
        </is>
      </c>
    </row>
    <row r="19" ht="15" customHeight="1">
      <c r="A19" s="8" t="inlineStr">
        <is>
          <t>Abertura de release</t>
        </is>
      </c>
      <c r="B19" s="6" t="inlineStr">
        <is>
          <t>Congelar o PRP linha de base na aba Sumário EVM (R2 na planning de 28/09; R3 na de 26/10).</t>
        </is>
      </c>
    </row>
    <row r="21">
      <c r="A21" s="3" t="inlineStr">
        <is>
          <t>Dashboard</t>
        </is>
      </c>
      <c r="B21" s="4" t="n"/>
    </row>
    <row r="22" ht="45" customHeight="1">
      <c r="A22" s="8" t="inlineStr">
        <is>
          <t>Publicar</t>
        </is>
      </c>
      <c r="B22" s="6" t="inlineStr">
        <is>
          <t>Arquivo → Compartilhar → Publicar na Web → escolher a aba → CSV. Publicar: Custos, Planejamento, Horas, Sumário EVM, EVM - Valor Agregado e EVM - Velocity, e colar os links em Analytics/config.py.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D2E"/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15" customWidth="1" min="4" max="4"/>
    <col width="13" customWidth="1" min="5" max="5"/>
    <col width="62" customWidth="1" min="6" max="6"/>
    <col width="46" customWidth="1" min="7" max="7"/>
  </cols>
  <sheetData>
    <row r="1" ht="42" customHeight="1">
      <c r="A1" s="9" t="inlineStr">
        <is>
          <t>chave</t>
        </is>
      </c>
      <c r="B1" s="9" t="inlineStr">
        <is>
          <t>grupo</t>
        </is>
      </c>
      <c r="C1" s="9" t="inlineStr">
        <is>
          <t>item</t>
        </is>
      </c>
      <c r="D1" s="10" t="inlineStr">
        <is>
          <t>valor</t>
        </is>
      </c>
      <c r="E1" s="9" t="inlineStr">
        <is>
          <t>unidade</t>
        </is>
      </c>
      <c r="F1" s="9" t="inlineStr">
        <is>
          <t>fonte</t>
        </is>
      </c>
      <c r="G1" s="9" t="inlineStr">
        <is>
          <t>cálculo</t>
        </is>
      </c>
    </row>
    <row r="2">
      <c r="A2" s="11" t="inlineStr">
        <is>
          <t>custo_anual_aluno</t>
        </is>
      </c>
      <c r="B2" s="11" t="inlineStr">
        <is>
          <t>Disciplina (UnB)</t>
        </is>
      </c>
      <c r="C2" s="11" t="inlineStr">
        <is>
          <t>Custo anual de um aluno de universidade federal</t>
        </is>
      </c>
      <c r="D2" s="12" t="n">
        <v>52533</v>
      </c>
      <c r="E2" s="11" t="inlineStr">
        <is>
          <t>R$/ano</t>
        </is>
      </c>
      <c r="F2" s="11" t="inlineStr">
        <is>
          <t>Valor de referência da planilha de custos do MeasureSoftGram 2026.1 (custo médio anual por aluno de universidade federal).</t>
        </is>
      </c>
      <c r="G2" s="11" t="inlineStr">
        <is>
          <t>premissa</t>
        </is>
      </c>
    </row>
    <row r="3">
      <c r="A3" s="11" t="inlineStr">
        <is>
          <t>creditos_ano</t>
        </is>
      </c>
      <c r="B3" s="11" t="inlineStr">
        <is>
          <t>Disciplina (UnB)</t>
        </is>
      </c>
      <c r="C3" s="11" t="inlineStr">
        <is>
          <t>Créditos cursados por ano</t>
        </is>
      </c>
      <c r="D3" s="13" t="n">
        <v>40</v>
      </c>
      <c r="E3" s="11" t="inlineStr">
        <is>
          <t>créditos</t>
        </is>
      </c>
      <c r="F3" s="11" t="inlineStr">
        <is>
          <t>Planilha de custos 2026.1.</t>
        </is>
      </c>
      <c r="G3" s="11" t="inlineStr">
        <is>
          <t>premissa</t>
        </is>
      </c>
    </row>
    <row r="4">
      <c r="A4" s="11" t="inlineStr">
        <is>
          <t>custo_credito</t>
        </is>
      </c>
      <c r="B4" s="11" t="inlineStr">
        <is>
          <t>Disciplina (UnB)</t>
        </is>
      </c>
      <c r="C4" s="11" t="inlineStr">
        <is>
          <t>Custo de um crédito</t>
        </is>
      </c>
      <c r="D4" s="14">
        <f>D2/D3</f>
        <v/>
      </c>
      <c r="E4" s="11" t="inlineStr">
        <is>
          <t>R$</t>
        </is>
      </c>
      <c r="F4" s="11" t="inlineStr"/>
      <c r="G4" s="11" t="inlineStr">
        <is>
          <t>custo_anual_aluno ÷ creditos_ano</t>
        </is>
      </c>
    </row>
    <row r="5">
      <c r="A5" s="11" t="inlineStr">
        <is>
          <t>creditos_eps</t>
        </is>
      </c>
      <c r="B5" s="11" t="inlineStr">
        <is>
          <t>Disciplina (UnB)</t>
        </is>
      </c>
      <c r="C5" s="11" t="inlineStr">
        <is>
          <t>Créditos de EPS</t>
        </is>
      </c>
      <c r="D5" s="13" t="n">
        <v>4</v>
      </c>
      <c r="E5" s="11" t="inlineStr">
        <is>
          <t>créditos</t>
        </is>
      </c>
      <c r="F5" s="11" t="inlineStr">
        <is>
          <t>Plano de ensino EPS 2026.2: 60 h, 4 créditos.</t>
        </is>
      </c>
      <c r="G5" s="11" t="inlineStr">
        <is>
          <t>premissa</t>
        </is>
      </c>
    </row>
    <row r="6">
      <c r="A6" s="11" t="inlineStr">
        <is>
          <t>custo_eps</t>
        </is>
      </c>
      <c r="B6" s="11" t="inlineStr">
        <is>
          <t>Disciplina (UnB)</t>
        </is>
      </c>
      <c r="C6" s="11" t="inlineStr">
        <is>
          <t>Custo de cursar EPS no semestre</t>
        </is>
      </c>
      <c r="D6" s="14">
        <f>D4*D5</f>
        <v/>
      </c>
      <c r="E6" s="11" t="inlineStr">
        <is>
          <t>R$</t>
        </is>
      </c>
      <c r="F6" s="11" t="inlineStr"/>
      <c r="G6" s="11" t="inlineStr">
        <is>
          <t>custo_credito × creditos_eps</t>
        </is>
      </c>
    </row>
    <row r="7">
      <c r="A7" s="11" t="inlineStr">
        <is>
          <t>semanas_semestre</t>
        </is>
      </c>
      <c r="B7" s="11" t="inlineStr">
        <is>
          <t>Disciplina (UnB)</t>
        </is>
      </c>
      <c r="C7" s="11" t="inlineStr">
        <is>
          <t>Semanas do semestre</t>
        </is>
      </c>
      <c r="D7" s="13" t="n">
        <v>18</v>
      </c>
      <c r="E7" s="11" t="inlineStr">
        <is>
          <t>semanas</t>
        </is>
      </c>
      <c r="F7" s="11" t="inlineStr">
        <is>
          <t>Cronograma EPS 2026.2 (10/08 a 14/12).</t>
        </is>
      </c>
      <c r="G7" s="11" t="inlineStr">
        <is>
          <t>premissa</t>
        </is>
      </c>
    </row>
    <row r="8">
      <c r="A8" s="11" t="inlineStr">
        <is>
          <t>custo_eps_semana</t>
        </is>
      </c>
      <c r="B8" s="11" t="inlineStr">
        <is>
          <t>Disciplina (UnB)</t>
        </is>
      </c>
      <c r="C8" s="11" t="inlineStr">
        <is>
          <t>Custo de EPS por semana</t>
        </is>
      </c>
      <c r="D8" s="14">
        <f>D6/D7</f>
        <v/>
      </c>
      <c r="E8" s="11" t="inlineStr">
        <is>
          <t>R$/semana</t>
        </is>
      </c>
      <c r="F8" s="11" t="inlineStr"/>
      <c r="G8" s="11" t="inlineStr">
        <is>
          <t>custo_eps ÷ semanas_semestre</t>
        </is>
      </c>
    </row>
    <row r="9">
      <c r="A9" s="11" t="inlineStr">
        <is>
          <t>horas_remotas_semana</t>
        </is>
      </c>
      <c r="B9" s="11" t="inlineStr">
        <is>
          <t>Trabalho remoto</t>
        </is>
      </c>
      <c r="C9" s="11" t="inlineStr">
        <is>
          <t>Horas de trabalho remoto por semana</t>
        </is>
      </c>
      <c r="D9" s="13" t="n">
        <v>10</v>
      </c>
      <c r="E9" s="11" t="inlineStr">
        <is>
          <t>h/semana</t>
        </is>
      </c>
      <c r="F9" s="11" t="inlineStr">
        <is>
          <t>Premissa de 2026.1 (10 h remotas). Confirmar com o time.</t>
        </is>
      </c>
      <c r="G9" s="11" t="inlineStr">
        <is>
          <t>premissa</t>
        </is>
      </c>
    </row>
    <row r="10">
      <c r="A10" s="11" t="inlineStr">
        <is>
          <t>tarifa_kwh</t>
        </is>
      </c>
      <c r="B10" s="11" t="inlineStr">
        <is>
          <t>Trabalho remoto</t>
        </is>
      </c>
      <c r="C10" s="11" t="inlineStr">
        <is>
          <t>Tarifa de energia</t>
        </is>
      </c>
      <c r="D10" s="12" t="n">
        <v>0.83</v>
      </c>
      <c r="E10" s="11" t="inlineStr">
        <is>
          <t>R$/kWh</t>
        </is>
      </c>
      <c r="F10" s="11" t="inlineStr">
        <is>
          <t>Neoenergia Brasília (planilha de custos 2026.1).</t>
        </is>
      </c>
      <c r="G10" s="11" t="inlineStr">
        <is>
          <t>premissa</t>
        </is>
      </c>
    </row>
    <row r="11">
      <c r="A11" s="11" t="inlineStr">
        <is>
          <t>potencia_computador</t>
        </is>
      </c>
      <c r="B11" s="11" t="inlineStr">
        <is>
          <t>Trabalho remoto</t>
        </is>
      </c>
      <c r="C11" s="11" t="inlineStr">
        <is>
          <t>Consumo do computador</t>
        </is>
      </c>
      <c r="D11" s="15" t="n">
        <v>40</v>
      </c>
      <c r="E11" s="11" t="inlineStr">
        <is>
          <t>W</t>
        </is>
      </c>
      <c r="F11" s="11" t="inlineStr">
        <is>
          <t>Notebook: 35 a 40 W (planilha de custos 2026.1).</t>
        </is>
      </c>
      <c r="G11" s="11" t="inlineStr">
        <is>
          <t>premissa</t>
        </is>
      </c>
    </row>
    <row r="12">
      <c r="A12" s="11" t="inlineStr">
        <is>
          <t>potencia_modem</t>
        </is>
      </c>
      <c r="B12" s="11" t="inlineStr">
        <is>
          <t>Trabalho remoto</t>
        </is>
      </c>
      <c r="C12" s="11" t="inlineStr">
        <is>
          <t>Consumo do modem</t>
        </is>
      </c>
      <c r="D12" s="15" t="n">
        <v>12</v>
      </c>
      <c r="E12" s="11" t="inlineStr">
        <is>
          <t>W</t>
        </is>
      </c>
      <c r="F12" s="11" t="inlineStr">
        <is>
          <t>Modem: 8 a 12 W (planilha de custos 2026.1).</t>
        </is>
      </c>
      <c r="G12" s="11" t="inlineStr">
        <is>
          <t>premissa</t>
        </is>
      </c>
    </row>
    <row r="13">
      <c r="A13" s="11" t="inlineStr">
        <is>
          <t>energia_semana</t>
        </is>
      </c>
      <c r="B13" s="11" t="inlineStr">
        <is>
          <t>Trabalho remoto</t>
        </is>
      </c>
      <c r="C13" s="11" t="inlineStr">
        <is>
          <t>Energia por semana</t>
        </is>
      </c>
      <c r="D13" s="14">
        <f>(D11+D12)/1000*D10*D9</f>
        <v/>
      </c>
      <c r="E13" s="11" t="inlineStr">
        <is>
          <t>R$/semana</t>
        </is>
      </c>
      <c r="F13" s="11" t="inlineStr"/>
      <c r="G13" s="11" t="inlineStr">
        <is>
          <t>(W computador + W modem) ÷ 1000 × tarifa × horas remotas</t>
        </is>
      </c>
    </row>
    <row r="14">
      <c r="A14" s="11" t="inlineStr">
        <is>
          <t>internet_mes</t>
        </is>
      </c>
      <c r="B14" s="11" t="inlineStr">
        <is>
          <t>Trabalho remoto</t>
        </is>
      </c>
      <c r="C14" s="11" t="inlineStr">
        <is>
          <t>Internet por mês</t>
        </is>
      </c>
      <c r="D14" s="12" t="n">
        <v>99.90000000000001</v>
      </c>
      <c r="E14" s="11" t="inlineStr">
        <is>
          <t>R$/mês</t>
        </is>
      </c>
      <c r="F14" s="11" t="inlineStr">
        <is>
          <t>Plano Claro 600 Mb (planilha de custos 2026.1).</t>
        </is>
      </c>
      <c r="G14" s="11" t="inlineStr">
        <is>
          <t>premissa</t>
        </is>
      </c>
    </row>
    <row r="15">
      <c r="A15" s="11" t="inlineStr">
        <is>
          <t>internet_semana</t>
        </is>
      </c>
      <c r="B15" s="11" t="inlineStr">
        <is>
          <t>Trabalho remoto</t>
        </is>
      </c>
      <c r="C15" s="11" t="inlineStr">
        <is>
          <t>Internet por semana</t>
        </is>
      </c>
      <c r="D15" s="14">
        <f>D14*12/52</f>
        <v/>
      </c>
      <c r="E15" s="11" t="inlineStr">
        <is>
          <t>R$/semana</t>
        </is>
      </c>
      <c r="F15" s="11" t="inlineStr"/>
      <c r="G15" s="11" t="inlineStr">
        <is>
          <t>internet_mes × 12 ÷ 52</t>
        </is>
      </c>
    </row>
    <row r="16">
      <c r="A16" s="11" t="inlineStr">
        <is>
          <t>valor_notebook</t>
        </is>
      </c>
      <c r="B16" s="11" t="inlineStr">
        <is>
          <t>Equipamento</t>
        </is>
      </c>
      <c r="C16" s="11" t="inlineStr">
        <is>
          <t>Notebook de referência</t>
        </is>
      </c>
      <c r="D16" s="12" t="n">
        <v>3665.56</v>
      </c>
      <c r="E16" s="11" t="inlineStr">
        <is>
          <t>R$</t>
        </is>
      </c>
      <c r="F16" s="11" t="inlineStr">
        <is>
          <t>Acer Aspire 5, Ryzen 5, 16 GB (planilha de custos 2026.1).</t>
        </is>
      </c>
      <c r="G16" s="11" t="inlineStr">
        <is>
          <t>premissa</t>
        </is>
      </c>
    </row>
    <row r="17">
      <c r="A17" s="11" t="inlineStr">
        <is>
          <t>vida_util_meses</t>
        </is>
      </c>
      <c r="B17" s="11" t="inlineStr">
        <is>
          <t>Equipamento</t>
        </is>
      </c>
      <c r="C17" s="11" t="inlineStr">
        <is>
          <t>Vida útil</t>
        </is>
      </c>
      <c r="D17" s="13" t="n">
        <v>60</v>
      </c>
      <c r="E17" s="11" t="inlineStr">
        <is>
          <t>meses</t>
        </is>
      </c>
      <c r="F17" s="11" t="inlineStr">
        <is>
          <t>5 anos (planilha de custos 2026.1).</t>
        </is>
      </c>
      <c r="G17" s="11" t="inlineStr">
        <is>
          <t>premissa</t>
        </is>
      </c>
    </row>
    <row r="18">
      <c r="A18" s="11" t="inlineStr">
        <is>
          <t>depreciacao_semana</t>
        </is>
      </c>
      <c r="B18" s="11" t="inlineStr">
        <is>
          <t>Equipamento</t>
        </is>
      </c>
      <c r="C18" s="11" t="inlineStr">
        <is>
          <t>Depreciação por semana</t>
        </is>
      </c>
      <c r="D18" s="14">
        <f>D16/(D17*52/12)</f>
        <v/>
      </c>
      <c r="E18" s="11" t="inlineStr">
        <is>
          <t>R$/semana</t>
        </is>
      </c>
      <c r="F18" s="11" t="inlineStr"/>
      <c r="G18" s="11" t="inlineStr">
        <is>
          <t>valor_notebook ÷ vida útil em semanas</t>
        </is>
      </c>
    </row>
    <row r="19">
      <c r="A19" s="11" t="inlineStr">
        <is>
          <t>deploy_semana</t>
        </is>
      </c>
      <c r="B19" s="11" t="inlineStr">
        <is>
          <t>Infraestrutura</t>
        </is>
      </c>
      <c r="C19" s="11" t="inlineStr">
        <is>
          <t>Deploy (servidor)</t>
        </is>
      </c>
      <c r="D19" s="12" t="n">
        <v>0</v>
      </c>
      <c r="E19" s="11" t="inlineStr">
        <is>
          <t>R$/semana</t>
        </is>
      </c>
      <c r="F19" s="11" t="inlineStr">
        <is>
          <t>Deploy no LAPPIS, sem custo (planilha de custos 2026.1). Atualizar se contratar serviço.</t>
        </is>
      </c>
      <c r="G19" s="11" t="inlineStr">
        <is>
          <t>premissa</t>
        </is>
      </c>
    </row>
    <row r="20">
      <c r="A20" s="11" t="inlineStr">
        <is>
          <t>dominio_ano</t>
        </is>
      </c>
      <c r="B20" s="11" t="inlineStr">
        <is>
          <t>Infraestrutura</t>
        </is>
      </c>
      <c r="C20" s="11" t="inlineStr">
        <is>
          <t>Domínio</t>
        </is>
      </c>
      <c r="D20" s="12" t="n">
        <v>0</v>
      </c>
      <c r="E20" s="11" t="inlineStr">
        <is>
          <t>R$/ano</t>
        </is>
      </c>
      <c r="F20" s="11" t="inlineStr">
        <is>
          <t>Sem domínio próprio em 2026.2 (docs no GitHub Pages). Em 2026.1: R$ 49,99/ano.</t>
        </is>
      </c>
      <c r="G20" s="11" t="inlineStr">
        <is>
          <t>premissa</t>
        </is>
      </c>
    </row>
    <row r="21">
      <c r="A21" s="11" t="inlineStr">
        <is>
          <t>infra_semana</t>
        </is>
      </c>
      <c r="B21" s="11" t="inlineStr">
        <is>
          <t>Infraestrutura</t>
        </is>
      </c>
      <c r="C21" s="11" t="inlineStr">
        <is>
          <t>Infraestrutura por semana</t>
        </is>
      </c>
      <c r="D21" s="14">
        <f>D19+D20/52</f>
        <v/>
      </c>
      <c r="E21" s="11" t="inlineStr">
        <is>
          <t>R$/semana</t>
        </is>
      </c>
      <c r="F21" s="11" t="inlineStr"/>
      <c r="G21" s="11" t="inlineStr">
        <is>
          <t>deploy_semana + dominio_ano ÷ 52</t>
        </is>
      </c>
    </row>
    <row r="22">
      <c r="A22" s="11" t="inlineStr">
        <is>
          <t>horas_presenciais_semana</t>
        </is>
      </c>
      <c r="B22" s="11" t="inlineStr">
        <is>
          <t>Resultado</t>
        </is>
      </c>
      <c r="C22" s="11" t="inlineStr">
        <is>
          <t>Horas presenciais por semana</t>
        </is>
      </c>
      <c r="D22" s="13" t="n">
        <v>4</v>
      </c>
      <c r="E22" s="11" t="inlineStr">
        <is>
          <t>h/semana</t>
        </is>
      </c>
      <c r="F22" s="11" t="inlineStr">
        <is>
          <t>Aula de segunda (plano de ensino).</t>
        </is>
      </c>
      <c r="G22" s="11" t="inlineStr">
        <is>
          <t>premissa</t>
        </is>
      </c>
    </row>
    <row r="23">
      <c r="A23" s="11" t="inlineStr">
        <is>
          <t>horas_semana_total</t>
        </is>
      </c>
      <c r="B23" s="11" t="inlineStr">
        <is>
          <t>Resultado</t>
        </is>
      </c>
      <c r="C23" s="11" t="inlineStr">
        <is>
          <t>Horas por integrante por semana</t>
        </is>
      </c>
      <c r="D23" s="16">
        <f>D9+D22</f>
        <v/>
      </c>
      <c r="E23" s="11" t="inlineStr">
        <is>
          <t>h/semana</t>
        </is>
      </c>
      <c r="F23" s="11" t="inlineStr"/>
      <c r="G23" s="11" t="inlineStr">
        <is>
          <t>horas remotas + presenciais</t>
        </is>
      </c>
    </row>
    <row r="24">
      <c r="A24" s="11" t="inlineStr">
        <is>
          <t>custo_membro_semana</t>
        </is>
      </c>
      <c r="B24" s="11" t="inlineStr">
        <is>
          <t>Resultado</t>
        </is>
      </c>
      <c r="C24" s="11" t="inlineStr">
        <is>
          <t>Custo de um integrante por semana</t>
        </is>
      </c>
      <c r="D24" s="14">
        <f>D8+D13+D15+D18</f>
        <v/>
      </c>
      <c r="E24" s="11" t="inlineStr">
        <is>
          <t>R$/semana</t>
        </is>
      </c>
      <c r="F24" s="11" t="inlineStr"/>
      <c r="G24" s="11" t="inlineStr">
        <is>
          <t>EPS + energia + internet + depreciação</t>
        </is>
      </c>
    </row>
    <row r="25">
      <c r="A25" s="11" t="inlineStr">
        <is>
          <t>custo_hora</t>
        </is>
      </c>
      <c r="B25" s="11" t="inlineStr">
        <is>
          <t>Resultado</t>
        </is>
      </c>
      <c r="C25" s="11" t="inlineStr">
        <is>
          <t>Custo por hora de trabalho</t>
        </is>
      </c>
      <c r="D25" s="14">
        <f>D24/D23</f>
        <v/>
      </c>
      <c r="E25" s="11" t="inlineStr">
        <is>
          <t>R$/h</t>
        </is>
      </c>
      <c r="F25" s="11" t="inlineStr"/>
      <c r="G25" s="11" t="inlineStr">
        <is>
          <t>custo_membro_semana ÷ horas por semana. Converte horas reais (aba Horas) em R$.</t>
        </is>
      </c>
    </row>
    <row r="26">
      <c r="A26" s="11" t="inlineStr">
        <is>
          <t>integrantes</t>
        </is>
      </c>
      <c r="B26" s="11" t="inlineStr">
        <is>
          <t>Resultado</t>
        </is>
      </c>
      <c r="C26" s="11" t="inlineStr">
        <is>
          <t>Integrantes no time</t>
        </is>
      </c>
      <c r="D26" s="16">
        <f>COUNTA(Planejamento!A2:A31)</f>
        <v/>
      </c>
      <c r="E26" s="11" t="inlineStr">
        <is>
          <t>pessoas</t>
        </is>
      </c>
      <c r="F26" s="11" t="inlineStr">
        <is>
          <t>Aba Planejamento.</t>
        </is>
      </c>
      <c r="G26" s="11" t="inlineStr">
        <is>
          <t>contagem de nomes na aba Planejamento</t>
        </is>
      </c>
    </row>
    <row r="27">
      <c r="A27" s="11" t="inlineStr">
        <is>
          <t>bac_total</t>
        </is>
      </c>
      <c r="B27" s="11" t="inlineStr">
        <is>
          <t>Resultado</t>
        </is>
      </c>
      <c r="C27" s="11" t="inlineStr">
        <is>
          <t>Orçamento total do projeto (BAC)</t>
        </is>
      </c>
      <c r="D27" s="14">
        <f>SUM(Planejamento!B33:O33)</f>
        <v/>
      </c>
      <c r="E27" s="11" t="inlineStr">
        <is>
          <t>R$</t>
        </is>
      </c>
      <c r="F27" s="11" t="inlineStr">
        <is>
          <t>Aba Planejamento.</t>
        </is>
      </c>
      <c r="G27" s="11" t="inlineStr">
        <is>
          <t>soma do custo planejado de todas as semanas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B3D2E"/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0" customWidth="1" min="16" max="16"/>
  </cols>
  <sheetData>
    <row r="1" ht="42" customHeight="1">
      <c r="A1" s="10" t="inlineStr">
        <is>
          <t>Integrante</t>
        </is>
      </c>
      <c r="B1" s="17" t="n">
        <v>46258</v>
      </c>
      <c r="C1" s="17" t="n">
        <v>46265</v>
      </c>
      <c r="D1" s="17" t="n">
        <v>46272</v>
      </c>
      <c r="E1" s="17" t="n">
        <v>46279</v>
      </c>
      <c r="F1" s="17" t="n">
        <v>46286</v>
      </c>
      <c r="G1" s="17" t="n">
        <v>46293</v>
      </c>
      <c r="H1" s="17" t="n">
        <v>46300</v>
      </c>
      <c r="I1" s="17" t="n">
        <v>46307</v>
      </c>
      <c r="J1" s="17" t="n">
        <v>46314</v>
      </c>
      <c r="K1" s="17" t="n">
        <v>46321</v>
      </c>
      <c r="L1" s="17" t="n">
        <v>46328</v>
      </c>
      <c r="M1" s="17" t="n">
        <v>46335</v>
      </c>
      <c r="N1" s="17" t="n">
        <v>46342</v>
      </c>
      <c r="O1" s="17" t="n">
        <v>46349</v>
      </c>
      <c r="P1" s="9" t="inlineStr">
        <is>
          <t>Semanas ativas</t>
        </is>
      </c>
    </row>
    <row r="2">
      <c r="A2" s="18" t="inlineStr">
        <is>
          <t>Alexandre de Sanana Beck</t>
        </is>
      </c>
      <c r="B2" s="19" t="n">
        <v>1</v>
      </c>
      <c r="C2" s="19" t="n">
        <v>1</v>
      </c>
      <c r="D2" s="19" t="n">
        <v>1</v>
      </c>
      <c r="E2" s="19" t="n">
        <v>1</v>
      </c>
      <c r="F2" s="19" t="n">
        <v>1</v>
      </c>
      <c r="G2" s="19" t="n">
        <v>1</v>
      </c>
      <c r="H2" s="19" t="n">
        <v>1</v>
      </c>
      <c r="I2" s="19" t="n">
        <v>1</v>
      </c>
      <c r="J2" s="19" t="n">
        <v>1</v>
      </c>
      <c r="K2" s="19" t="n">
        <v>1</v>
      </c>
      <c r="L2" s="19" t="n">
        <v>1</v>
      </c>
      <c r="M2" s="19" t="n">
        <v>1</v>
      </c>
      <c r="N2" s="19" t="n">
        <v>1</v>
      </c>
      <c r="O2" s="19" t="n">
        <v>1</v>
      </c>
      <c r="P2" s="20">
        <f>SUM(B2:O2)</f>
        <v/>
      </c>
    </row>
    <row r="3">
      <c r="A3" s="18" t="inlineStr">
        <is>
          <t>Antônio José Magalhães Leão Júnior</t>
        </is>
      </c>
      <c r="B3" s="19" t="n">
        <v>1</v>
      </c>
      <c r="C3" s="19" t="n">
        <v>1</v>
      </c>
      <c r="D3" s="19" t="n">
        <v>1</v>
      </c>
      <c r="E3" s="19" t="n">
        <v>1</v>
      </c>
      <c r="F3" s="19" t="n">
        <v>1</v>
      </c>
      <c r="G3" s="19" t="n">
        <v>1</v>
      </c>
      <c r="H3" s="19" t="n">
        <v>1</v>
      </c>
      <c r="I3" s="19" t="n">
        <v>1</v>
      </c>
      <c r="J3" s="19" t="n">
        <v>1</v>
      </c>
      <c r="K3" s="19" t="n">
        <v>1</v>
      </c>
      <c r="L3" s="19" t="n">
        <v>1</v>
      </c>
      <c r="M3" s="19" t="n">
        <v>1</v>
      </c>
      <c r="N3" s="19" t="n">
        <v>1</v>
      </c>
      <c r="O3" s="19" t="n">
        <v>1</v>
      </c>
      <c r="P3" s="20">
        <f>SUM(B3:O3)</f>
        <v/>
      </c>
    </row>
    <row r="4">
      <c r="A4" s="18" t="inlineStr">
        <is>
          <t>Daniel Ferreira Santos Rabelo</t>
        </is>
      </c>
      <c r="B4" s="19" t="n">
        <v>1</v>
      </c>
      <c r="C4" s="19" t="n">
        <v>1</v>
      </c>
      <c r="D4" s="19" t="n">
        <v>1</v>
      </c>
      <c r="E4" s="19" t="n">
        <v>1</v>
      </c>
      <c r="F4" s="19" t="n">
        <v>1</v>
      </c>
      <c r="G4" s="19" t="n">
        <v>1</v>
      </c>
      <c r="H4" s="19" t="n">
        <v>1</v>
      </c>
      <c r="I4" s="19" t="n">
        <v>1</v>
      </c>
      <c r="J4" s="19" t="n">
        <v>1</v>
      </c>
      <c r="K4" s="19" t="n">
        <v>1</v>
      </c>
      <c r="L4" s="19" t="n">
        <v>1</v>
      </c>
      <c r="M4" s="19" t="n">
        <v>1</v>
      </c>
      <c r="N4" s="19" t="n">
        <v>1</v>
      </c>
      <c r="O4" s="19" t="n">
        <v>1</v>
      </c>
      <c r="P4" s="20">
        <f>SUM(B4:O4)</f>
        <v/>
      </c>
    </row>
    <row r="5">
      <c r="A5" s="18" t="inlineStr">
        <is>
          <t>Diego Carlito Rodrigues de Souza</t>
        </is>
      </c>
      <c r="B5" s="19" t="n">
        <v>1</v>
      </c>
      <c r="C5" s="19" t="n">
        <v>1</v>
      </c>
      <c r="D5" s="19" t="n">
        <v>1</v>
      </c>
      <c r="E5" s="19" t="n">
        <v>1</v>
      </c>
      <c r="F5" s="19" t="n">
        <v>1</v>
      </c>
      <c r="G5" s="19" t="n">
        <v>1</v>
      </c>
      <c r="H5" s="19" t="n">
        <v>1</v>
      </c>
      <c r="I5" s="19" t="n">
        <v>1</v>
      </c>
      <c r="J5" s="19" t="n">
        <v>1</v>
      </c>
      <c r="K5" s="19" t="n">
        <v>1</v>
      </c>
      <c r="L5" s="19" t="n">
        <v>1</v>
      </c>
      <c r="M5" s="19" t="n">
        <v>1</v>
      </c>
      <c r="N5" s="19" t="n">
        <v>1</v>
      </c>
      <c r="O5" s="19" t="n">
        <v>1</v>
      </c>
      <c r="P5" s="20">
        <f>SUM(B5:O5)</f>
        <v/>
      </c>
    </row>
    <row r="6">
      <c r="A6" s="18" t="inlineStr">
        <is>
          <t>Diogo Rodrigues Barboza</t>
        </is>
      </c>
      <c r="B6" s="19" t="n">
        <v>1</v>
      </c>
      <c r="C6" s="19" t="n">
        <v>1</v>
      </c>
      <c r="D6" s="19" t="n">
        <v>1</v>
      </c>
      <c r="E6" s="19" t="n">
        <v>1</v>
      </c>
      <c r="F6" s="19" t="n">
        <v>1</v>
      </c>
      <c r="G6" s="19" t="n">
        <v>1</v>
      </c>
      <c r="H6" s="19" t="n">
        <v>1</v>
      </c>
      <c r="I6" s="19" t="n">
        <v>1</v>
      </c>
      <c r="J6" s="19" t="n">
        <v>1</v>
      </c>
      <c r="K6" s="19" t="n">
        <v>1</v>
      </c>
      <c r="L6" s="19" t="n">
        <v>1</v>
      </c>
      <c r="M6" s="19" t="n">
        <v>1</v>
      </c>
      <c r="N6" s="19" t="n">
        <v>1</v>
      </c>
      <c r="O6" s="19" t="n">
        <v>1</v>
      </c>
      <c r="P6" s="20">
        <f>SUM(B6:O6)</f>
        <v/>
      </c>
    </row>
    <row r="7">
      <c r="A7" s="18" t="inlineStr">
        <is>
          <t>Gabriel Marques de Souza</t>
        </is>
      </c>
      <c r="B7" s="19" t="n">
        <v>1</v>
      </c>
      <c r="C7" s="19" t="n">
        <v>1</v>
      </c>
      <c r="D7" s="19" t="n">
        <v>1</v>
      </c>
      <c r="E7" s="19" t="n">
        <v>1</v>
      </c>
      <c r="F7" s="19" t="n">
        <v>1</v>
      </c>
      <c r="G7" s="19" t="n">
        <v>1</v>
      </c>
      <c r="H7" s="19" t="n">
        <v>1</v>
      </c>
      <c r="I7" s="19" t="n">
        <v>1</v>
      </c>
      <c r="J7" s="19" t="n">
        <v>1</v>
      </c>
      <c r="K7" s="19" t="n">
        <v>1</v>
      </c>
      <c r="L7" s="19" t="n">
        <v>1</v>
      </c>
      <c r="M7" s="19" t="n">
        <v>1</v>
      </c>
      <c r="N7" s="19" t="n">
        <v>1</v>
      </c>
      <c r="O7" s="19" t="n">
        <v>1</v>
      </c>
      <c r="P7" s="20">
        <f>SUM(B7:O7)</f>
        <v/>
      </c>
    </row>
    <row r="8">
      <c r="A8" s="18" t="inlineStr">
        <is>
          <t>Gabriel Moura</t>
        </is>
      </c>
      <c r="B8" s="19" t="n">
        <v>1</v>
      </c>
      <c r="C8" s="19" t="n">
        <v>1</v>
      </c>
      <c r="D8" s="19" t="n">
        <v>1</v>
      </c>
      <c r="E8" s="19" t="n">
        <v>1</v>
      </c>
      <c r="F8" s="19" t="n">
        <v>1</v>
      </c>
      <c r="G8" s="19" t="n">
        <v>1</v>
      </c>
      <c r="H8" s="19" t="n">
        <v>1</v>
      </c>
      <c r="I8" s="19" t="n">
        <v>1</v>
      </c>
      <c r="J8" s="19" t="n">
        <v>1</v>
      </c>
      <c r="K8" s="19" t="n">
        <v>1</v>
      </c>
      <c r="L8" s="19" t="n">
        <v>1</v>
      </c>
      <c r="M8" s="19" t="n">
        <v>1</v>
      </c>
      <c r="N8" s="19" t="n">
        <v>1</v>
      </c>
      <c r="O8" s="19" t="n">
        <v>1</v>
      </c>
      <c r="P8" s="20">
        <f>SUM(B8:O8)</f>
        <v/>
      </c>
    </row>
    <row r="9">
      <c r="A9" s="18" t="inlineStr">
        <is>
          <t>Guilherme Storch</t>
        </is>
      </c>
      <c r="B9" s="19" t="n">
        <v>1</v>
      </c>
      <c r="C9" s="19" t="n">
        <v>1</v>
      </c>
      <c r="D9" s="19" t="n">
        <v>1</v>
      </c>
      <c r="E9" s="19" t="n">
        <v>1</v>
      </c>
      <c r="F9" s="19" t="n">
        <v>1</v>
      </c>
      <c r="G9" s="19" t="n">
        <v>1</v>
      </c>
      <c r="H9" s="19" t="n">
        <v>1</v>
      </c>
      <c r="I9" s="19" t="n">
        <v>1</v>
      </c>
      <c r="J9" s="19" t="n">
        <v>1</v>
      </c>
      <c r="K9" s="19" t="n">
        <v>1</v>
      </c>
      <c r="L9" s="19" t="n">
        <v>1</v>
      </c>
      <c r="M9" s="19" t="n">
        <v>1</v>
      </c>
      <c r="N9" s="19" t="n">
        <v>1</v>
      </c>
      <c r="O9" s="19" t="n">
        <v>1</v>
      </c>
      <c r="P9" s="20">
        <f>SUM(B9:O9)</f>
        <v/>
      </c>
    </row>
    <row r="10">
      <c r="A10" s="18" t="inlineStr">
        <is>
          <t>Gustavo Roberto Silva de Melo</t>
        </is>
      </c>
      <c r="B10" s="19" t="n">
        <v>1</v>
      </c>
      <c r="C10" s="19" t="n">
        <v>1</v>
      </c>
      <c r="D10" s="19" t="n">
        <v>1</v>
      </c>
      <c r="E10" s="19" t="n">
        <v>1</v>
      </c>
      <c r="F10" s="19" t="n">
        <v>1</v>
      </c>
      <c r="G10" s="19" t="n">
        <v>1</v>
      </c>
      <c r="H10" s="19" t="n">
        <v>1</v>
      </c>
      <c r="I10" s="19" t="n">
        <v>1</v>
      </c>
      <c r="J10" s="19" t="n">
        <v>1</v>
      </c>
      <c r="K10" s="19" t="n">
        <v>1</v>
      </c>
      <c r="L10" s="19" t="n">
        <v>1</v>
      </c>
      <c r="M10" s="19" t="n">
        <v>1</v>
      </c>
      <c r="N10" s="19" t="n">
        <v>1</v>
      </c>
      <c r="O10" s="19" t="n">
        <v>1</v>
      </c>
      <c r="P10" s="20">
        <f>SUM(B10:O10)</f>
        <v/>
      </c>
    </row>
    <row r="11">
      <c r="A11" s="18" t="inlineStr">
        <is>
          <t>Henrique Camelo Quenino</t>
        </is>
      </c>
      <c r="B11" s="19" t="n">
        <v>1</v>
      </c>
      <c r="C11" s="19" t="n">
        <v>1</v>
      </c>
      <c r="D11" s="19" t="n">
        <v>1</v>
      </c>
      <c r="E11" s="19" t="n">
        <v>1</v>
      </c>
      <c r="F11" s="19" t="n">
        <v>1</v>
      </c>
      <c r="G11" s="19" t="n">
        <v>1</v>
      </c>
      <c r="H11" s="19" t="n">
        <v>1</v>
      </c>
      <c r="I11" s="19" t="n">
        <v>1</v>
      </c>
      <c r="J11" s="19" t="n">
        <v>1</v>
      </c>
      <c r="K11" s="19" t="n">
        <v>1</v>
      </c>
      <c r="L11" s="19" t="n">
        <v>1</v>
      </c>
      <c r="M11" s="19" t="n">
        <v>1</v>
      </c>
      <c r="N11" s="19" t="n">
        <v>1</v>
      </c>
      <c r="O11" s="19" t="n">
        <v>1</v>
      </c>
      <c r="P11" s="20">
        <f>SUM(B11:O11)</f>
        <v/>
      </c>
    </row>
    <row r="12">
      <c r="A12" s="18" t="inlineStr">
        <is>
          <t>Kathlyn Lara Murussi</t>
        </is>
      </c>
      <c r="B12" s="19" t="n">
        <v>1</v>
      </c>
      <c r="C12" s="19" t="n">
        <v>1</v>
      </c>
      <c r="D12" s="19" t="n">
        <v>1</v>
      </c>
      <c r="E12" s="19" t="n">
        <v>1</v>
      </c>
      <c r="F12" s="19" t="n">
        <v>1</v>
      </c>
      <c r="G12" s="19" t="n">
        <v>1</v>
      </c>
      <c r="H12" s="19" t="n">
        <v>1</v>
      </c>
      <c r="I12" s="19" t="n">
        <v>1</v>
      </c>
      <c r="J12" s="19" t="n">
        <v>1</v>
      </c>
      <c r="K12" s="19" t="n">
        <v>1</v>
      </c>
      <c r="L12" s="19" t="n">
        <v>1</v>
      </c>
      <c r="M12" s="19" t="n">
        <v>1</v>
      </c>
      <c r="N12" s="19" t="n">
        <v>1</v>
      </c>
      <c r="O12" s="19" t="n">
        <v>1</v>
      </c>
      <c r="P12" s="20">
        <f>SUM(B12:O12)</f>
        <v/>
      </c>
    </row>
    <row r="13">
      <c r="A13" s="18" t="inlineStr">
        <is>
          <t>Lucas Bottino</t>
        </is>
      </c>
      <c r="B13" s="19" t="n">
        <v>1</v>
      </c>
      <c r="C13" s="19" t="n">
        <v>1</v>
      </c>
      <c r="D13" s="19" t="n">
        <v>1</v>
      </c>
      <c r="E13" s="19" t="n">
        <v>1</v>
      </c>
      <c r="F13" s="19" t="n">
        <v>1</v>
      </c>
      <c r="G13" s="19" t="n">
        <v>1</v>
      </c>
      <c r="H13" s="19" t="n">
        <v>1</v>
      </c>
      <c r="I13" s="19" t="n">
        <v>1</v>
      </c>
      <c r="J13" s="19" t="n">
        <v>1</v>
      </c>
      <c r="K13" s="19" t="n">
        <v>1</v>
      </c>
      <c r="L13" s="19" t="n">
        <v>1</v>
      </c>
      <c r="M13" s="19" t="n">
        <v>1</v>
      </c>
      <c r="N13" s="19" t="n">
        <v>1</v>
      </c>
      <c r="O13" s="19" t="n">
        <v>1</v>
      </c>
      <c r="P13" s="20">
        <f>SUM(B13:O13)</f>
        <v/>
      </c>
    </row>
    <row r="14">
      <c r="A14" s="18" t="inlineStr">
        <is>
          <t>Luciano Freitas</t>
        </is>
      </c>
      <c r="B14" s="19" t="n">
        <v>1</v>
      </c>
      <c r="C14" s="19" t="n">
        <v>1</v>
      </c>
      <c r="D14" s="19" t="n">
        <v>1</v>
      </c>
      <c r="E14" s="19" t="n">
        <v>1</v>
      </c>
      <c r="F14" s="19" t="n">
        <v>1</v>
      </c>
      <c r="G14" s="19" t="n">
        <v>1</v>
      </c>
      <c r="H14" s="19" t="n">
        <v>1</v>
      </c>
      <c r="I14" s="19" t="n">
        <v>1</v>
      </c>
      <c r="J14" s="19" t="n">
        <v>1</v>
      </c>
      <c r="K14" s="19" t="n">
        <v>1</v>
      </c>
      <c r="L14" s="19" t="n">
        <v>1</v>
      </c>
      <c r="M14" s="19" t="n">
        <v>1</v>
      </c>
      <c r="N14" s="19" t="n">
        <v>1</v>
      </c>
      <c r="O14" s="19" t="n">
        <v>1</v>
      </c>
      <c r="P14" s="20">
        <f>SUM(B14:O14)</f>
        <v/>
      </c>
    </row>
    <row r="15">
      <c r="A15" s="18" t="inlineStr">
        <is>
          <t>Luiza Maluf</t>
        </is>
      </c>
      <c r="B15" s="19" t="n">
        <v>1</v>
      </c>
      <c r="C15" s="19" t="n">
        <v>1</v>
      </c>
      <c r="D15" s="19" t="n">
        <v>1</v>
      </c>
      <c r="E15" s="19" t="n">
        <v>1</v>
      </c>
      <c r="F15" s="19" t="n">
        <v>1</v>
      </c>
      <c r="G15" s="19" t="n">
        <v>1</v>
      </c>
      <c r="H15" s="19" t="n">
        <v>1</v>
      </c>
      <c r="I15" s="19" t="n">
        <v>1</v>
      </c>
      <c r="J15" s="19" t="n">
        <v>1</v>
      </c>
      <c r="K15" s="19" t="n">
        <v>1</v>
      </c>
      <c r="L15" s="19" t="n">
        <v>1</v>
      </c>
      <c r="M15" s="19" t="n">
        <v>1</v>
      </c>
      <c r="N15" s="19" t="n">
        <v>1</v>
      </c>
      <c r="O15" s="19" t="n">
        <v>1</v>
      </c>
      <c r="P15" s="20">
        <f>SUM(B15:O15)</f>
        <v/>
      </c>
    </row>
    <row r="16">
      <c r="A16" s="18" t="inlineStr">
        <is>
          <t>Manoel Felipe Teixeira Neto</t>
        </is>
      </c>
      <c r="B16" s="19" t="n">
        <v>1</v>
      </c>
      <c r="C16" s="19" t="n">
        <v>1</v>
      </c>
      <c r="D16" s="19" t="n">
        <v>1</v>
      </c>
      <c r="E16" s="19" t="n">
        <v>1</v>
      </c>
      <c r="F16" s="19" t="n">
        <v>1</v>
      </c>
      <c r="G16" s="19" t="n">
        <v>1</v>
      </c>
      <c r="H16" s="19" t="n">
        <v>1</v>
      </c>
      <c r="I16" s="19" t="n">
        <v>1</v>
      </c>
      <c r="J16" s="19" t="n">
        <v>1</v>
      </c>
      <c r="K16" s="19" t="n">
        <v>1</v>
      </c>
      <c r="L16" s="19" t="n">
        <v>1</v>
      </c>
      <c r="M16" s="19" t="n">
        <v>1</v>
      </c>
      <c r="N16" s="19" t="n">
        <v>1</v>
      </c>
      <c r="O16" s="19" t="n">
        <v>1</v>
      </c>
      <c r="P16" s="20">
        <f>SUM(B16:O16)</f>
        <v/>
      </c>
    </row>
    <row r="17">
      <c r="A17" s="18" t="inlineStr">
        <is>
          <t>Marcos Antonio Teles de Castilhos</t>
        </is>
      </c>
      <c r="B17" s="19" t="n">
        <v>1</v>
      </c>
      <c r="C17" s="19" t="n">
        <v>1</v>
      </c>
      <c r="D17" s="19" t="n">
        <v>1</v>
      </c>
      <c r="E17" s="19" t="n">
        <v>1</v>
      </c>
      <c r="F17" s="19" t="n">
        <v>1</v>
      </c>
      <c r="G17" s="19" t="n">
        <v>1</v>
      </c>
      <c r="H17" s="19" t="n">
        <v>1</v>
      </c>
      <c r="I17" s="19" t="n">
        <v>1</v>
      </c>
      <c r="J17" s="19" t="n">
        <v>1</v>
      </c>
      <c r="K17" s="19" t="n">
        <v>1</v>
      </c>
      <c r="L17" s="19" t="n">
        <v>1</v>
      </c>
      <c r="M17" s="19" t="n">
        <v>1</v>
      </c>
      <c r="N17" s="19" t="n">
        <v>1</v>
      </c>
      <c r="O17" s="19" t="n">
        <v>1</v>
      </c>
      <c r="P17" s="20">
        <f>SUM(B17:O17)</f>
        <v/>
      </c>
    </row>
    <row r="18">
      <c r="A18" s="18" t="inlineStr">
        <is>
          <t>Milena Fernandes Rocha</t>
        </is>
      </c>
      <c r="B18" s="19" t="n">
        <v>1</v>
      </c>
      <c r="C18" s="19" t="n">
        <v>1</v>
      </c>
      <c r="D18" s="19" t="n">
        <v>1</v>
      </c>
      <c r="E18" s="19" t="n">
        <v>1</v>
      </c>
      <c r="F18" s="19" t="n">
        <v>1</v>
      </c>
      <c r="G18" s="19" t="n">
        <v>1</v>
      </c>
      <c r="H18" s="19" t="n">
        <v>1</v>
      </c>
      <c r="I18" s="19" t="n">
        <v>1</v>
      </c>
      <c r="J18" s="19" t="n">
        <v>1</v>
      </c>
      <c r="K18" s="19" t="n">
        <v>1</v>
      </c>
      <c r="L18" s="19" t="n">
        <v>1</v>
      </c>
      <c r="M18" s="19" t="n">
        <v>1</v>
      </c>
      <c r="N18" s="19" t="n">
        <v>1</v>
      </c>
      <c r="O18" s="19" t="n">
        <v>1</v>
      </c>
      <c r="P18" s="20">
        <f>SUM(B18:O18)</f>
        <v/>
      </c>
    </row>
    <row r="19">
      <c r="A19" s="18" t="inlineStr">
        <is>
          <t>Nathan Benigno Ponce de Abreu</t>
        </is>
      </c>
      <c r="B19" s="19" t="n">
        <v>1</v>
      </c>
      <c r="C19" s="19" t="n">
        <v>1</v>
      </c>
      <c r="D19" s="19" t="n">
        <v>1</v>
      </c>
      <c r="E19" s="19" t="n">
        <v>1</v>
      </c>
      <c r="F19" s="19" t="n">
        <v>1</v>
      </c>
      <c r="G19" s="19" t="n">
        <v>1</v>
      </c>
      <c r="H19" s="19" t="n">
        <v>1</v>
      </c>
      <c r="I19" s="19" t="n">
        <v>1</v>
      </c>
      <c r="J19" s="19" t="n">
        <v>1</v>
      </c>
      <c r="K19" s="19" t="n">
        <v>1</v>
      </c>
      <c r="L19" s="19" t="n">
        <v>1</v>
      </c>
      <c r="M19" s="19" t="n">
        <v>1</v>
      </c>
      <c r="N19" s="19" t="n">
        <v>1</v>
      </c>
      <c r="O19" s="19" t="n">
        <v>1</v>
      </c>
      <c r="P19" s="20">
        <f>SUM(B19:O19)</f>
        <v/>
      </c>
    </row>
    <row r="20">
      <c r="A20" s="18" t="inlineStr">
        <is>
          <t>Pedro Sena Barbosa Holtz Yen</t>
        </is>
      </c>
      <c r="B20" s="19" t="n">
        <v>1</v>
      </c>
      <c r="C20" s="19" t="n">
        <v>1</v>
      </c>
      <c r="D20" s="19" t="n">
        <v>1</v>
      </c>
      <c r="E20" s="19" t="n">
        <v>1</v>
      </c>
      <c r="F20" s="19" t="n">
        <v>1</v>
      </c>
      <c r="G20" s="19" t="n">
        <v>1</v>
      </c>
      <c r="H20" s="19" t="n">
        <v>1</v>
      </c>
      <c r="I20" s="19" t="n">
        <v>1</v>
      </c>
      <c r="J20" s="19" t="n">
        <v>1</v>
      </c>
      <c r="K20" s="19" t="n">
        <v>1</v>
      </c>
      <c r="L20" s="19" t="n">
        <v>1</v>
      </c>
      <c r="M20" s="19" t="n">
        <v>1</v>
      </c>
      <c r="N20" s="19" t="n">
        <v>1</v>
      </c>
      <c r="O20" s="19" t="n">
        <v>1</v>
      </c>
      <c r="P20" s="20">
        <f>SUM(B20:O20)</f>
        <v/>
      </c>
    </row>
    <row r="21">
      <c r="A21" s="18" t="inlineStr">
        <is>
          <t>Wallyson Souza</t>
        </is>
      </c>
      <c r="B21" s="19" t="n">
        <v>1</v>
      </c>
      <c r="C21" s="19" t="n">
        <v>1</v>
      </c>
      <c r="D21" s="19" t="n">
        <v>1</v>
      </c>
      <c r="E21" s="19" t="n">
        <v>1</v>
      </c>
      <c r="F21" s="19" t="n">
        <v>1</v>
      </c>
      <c r="G21" s="19" t="n">
        <v>1</v>
      </c>
      <c r="H21" s="19" t="n">
        <v>1</v>
      </c>
      <c r="I21" s="19" t="n">
        <v>1</v>
      </c>
      <c r="J21" s="19" t="n">
        <v>1</v>
      </c>
      <c r="K21" s="19" t="n">
        <v>1</v>
      </c>
      <c r="L21" s="19" t="n">
        <v>1</v>
      </c>
      <c r="M21" s="19" t="n">
        <v>1</v>
      </c>
      <c r="N21" s="19" t="n">
        <v>1</v>
      </c>
      <c r="O21" s="19" t="n">
        <v>1</v>
      </c>
      <c r="P21" s="20">
        <f>SUM(B21:O21)</f>
        <v/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</row>
    <row r="32">
      <c r="A32" s="22" t="inlineStr">
        <is>
          <t>Integrantes ativos</t>
        </is>
      </c>
      <c r="B32" s="20">
        <f>SUM(B2:B31)</f>
        <v/>
      </c>
      <c r="C32" s="20">
        <f>SUM(C2:C31)</f>
        <v/>
      </c>
      <c r="D32" s="20">
        <f>SUM(D2:D31)</f>
        <v/>
      </c>
      <c r="E32" s="20">
        <f>SUM(E2:E31)</f>
        <v/>
      </c>
      <c r="F32" s="20">
        <f>SUM(F2:F31)</f>
        <v/>
      </c>
      <c r="G32" s="20">
        <f>SUM(G2:G31)</f>
        <v/>
      </c>
      <c r="H32" s="20">
        <f>SUM(H2:H31)</f>
        <v/>
      </c>
      <c r="I32" s="20">
        <f>SUM(I2:I31)</f>
        <v/>
      </c>
      <c r="J32" s="20">
        <f>SUM(J2:J31)</f>
        <v/>
      </c>
      <c r="K32" s="20">
        <f>SUM(K2:K31)</f>
        <v/>
      </c>
      <c r="L32" s="20">
        <f>SUM(L2:L31)</f>
        <v/>
      </c>
      <c r="M32" s="20">
        <f>SUM(M2:M31)</f>
        <v/>
      </c>
      <c r="N32" s="20">
        <f>SUM(N2:N31)</f>
        <v/>
      </c>
      <c r="O32" s="20">
        <f>SUM(O2:O31)</f>
        <v/>
      </c>
    </row>
    <row r="33">
      <c r="A33" s="22" t="inlineStr">
        <is>
          <t>Custo planejado da semana (R$)</t>
        </is>
      </c>
      <c r="B33" s="14">
        <f>B32*Custos!$D$24+Custos!$D$21</f>
        <v/>
      </c>
      <c r="C33" s="14">
        <f>C32*Custos!$D$24+Custos!$D$21</f>
        <v/>
      </c>
      <c r="D33" s="14">
        <f>D32*Custos!$D$24+Custos!$D$21</f>
        <v/>
      </c>
      <c r="E33" s="14">
        <f>E32*Custos!$D$24+Custos!$D$21</f>
        <v/>
      </c>
      <c r="F33" s="14">
        <f>F32*Custos!$D$24+Custos!$D$21</f>
        <v/>
      </c>
      <c r="G33" s="14">
        <f>G32*Custos!$D$24+Custos!$D$21</f>
        <v/>
      </c>
      <c r="H33" s="14">
        <f>H32*Custos!$D$24+Custos!$D$21</f>
        <v/>
      </c>
      <c r="I33" s="14">
        <f>I32*Custos!$D$24+Custos!$D$21</f>
        <v/>
      </c>
      <c r="J33" s="14">
        <f>J32*Custos!$D$24+Custos!$D$21</f>
        <v/>
      </c>
      <c r="K33" s="14">
        <f>K32*Custos!$D$24+Custos!$D$21</f>
        <v/>
      </c>
      <c r="L33" s="14">
        <f>L32*Custos!$D$24+Custos!$D$21</f>
        <v/>
      </c>
      <c r="M33" s="14">
        <f>M32*Custos!$D$24+Custos!$D$21</f>
        <v/>
      </c>
      <c r="N33" s="14">
        <f>N32*Custos!$D$24+Custos!$D$21</f>
        <v/>
      </c>
      <c r="O33" s="14">
        <f>O32*Custos!$D$24+Custos!$D$21</f>
        <v/>
      </c>
    </row>
    <row r="34">
      <c r="A34" s="22" t="inlineStr">
        <is>
          <t>Release</t>
        </is>
      </c>
      <c r="B34" s="23" t="inlineStr">
        <is>
          <t>R1</t>
        </is>
      </c>
      <c r="C34" s="23" t="inlineStr">
        <is>
          <t>R1</t>
        </is>
      </c>
      <c r="D34" s="23" t="inlineStr">
        <is>
          <t>R1</t>
        </is>
      </c>
      <c r="E34" s="23" t="inlineStr">
        <is>
          <t>R1</t>
        </is>
      </c>
      <c r="F34" s="23" t="inlineStr">
        <is>
          <t>R1</t>
        </is>
      </c>
      <c r="G34" s="23" t="inlineStr">
        <is>
          <t>R2</t>
        </is>
      </c>
      <c r="H34" s="23" t="inlineStr">
        <is>
          <t>R2</t>
        </is>
      </c>
      <c r="I34" s="23" t="inlineStr">
        <is>
          <t>R2</t>
        </is>
      </c>
      <c r="J34" s="23" t="inlineStr">
        <is>
          <t>R2</t>
        </is>
      </c>
      <c r="K34" s="23" t="inlineStr">
        <is>
          <t>R3</t>
        </is>
      </c>
      <c r="L34" s="23" t="inlineStr">
        <is>
          <t>R3</t>
        </is>
      </c>
      <c r="M34" s="23" t="inlineStr">
        <is>
          <t>R3</t>
        </is>
      </c>
      <c r="N34" s="23" t="inlineStr">
        <is>
          <t>R3</t>
        </is>
      </c>
      <c r="O34" s="23" t="inlineStr">
        <is>
          <t>R3</t>
        </is>
      </c>
    </row>
    <row r="35">
      <c r="A35" s="22" t="inlineStr">
        <is>
          <t>Sprint</t>
        </is>
      </c>
      <c r="B35" s="20" t="n">
        <v>1</v>
      </c>
      <c r="C35" s="20" t="n">
        <v>1</v>
      </c>
      <c r="D35" s="20" t="n">
        <v>2</v>
      </c>
      <c r="E35" s="20" t="n">
        <v>2</v>
      </c>
      <c r="F35" s="20" t="n">
        <v>3</v>
      </c>
      <c r="G35" s="20" t="n">
        <v>4</v>
      </c>
      <c r="H35" s="20" t="n">
        <v>5</v>
      </c>
      <c r="I35" s="20" t="n">
        <v>6</v>
      </c>
      <c r="J35" s="20" t="n">
        <v>7</v>
      </c>
      <c r="K35" s="20" t="n">
        <v>8</v>
      </c>
      <c r="L35" s="20" t="n">
        <v>9</v>
      </c>
      <c r="M35" s="20" t="n">
        <v>10</v>
      </c>
      <c r="N35" s="20" t="n">
        <v>11</v>
      </c>
      <c r="O35" s="20" t="n">
        <v>12</v>
      </c>
    </row>
  </sheetData>
  <dataValidations count="1">
    <dataValidation sqref="B2:O31" showDropDown="0" showInputMessage="1" showErrorMessage="1" allowBlank="1" prompt="1 = no time nesta semana; 0 = fora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7791F"/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60" customWidth="1" min="4" max="4"/>
  </cols>
  <sheetData>
    <row r="1" ht="42" customHeight="1">
      <c r="A1" s="10" t="inlineStr">
        <is>
          <t>Sprint</t>
        </is>
      </c>
      <c r="B1" s="10" t="inlineStr">
        <is>
          <t>Integrante</t>
        </is>
      </c>
      <c r="C1" s="10" t="inlineStr">
        <is>
          <t>Horas</t>
        </is>
      </c>
      <c r="D1" s="10" t="inlineStr">
        <is>
          <t>Observação</t>
        </is>
      </c>
    </row>
    <row r="2">
      <c r="A2" s="19" t="n">
        <v>1</v>
      </c>
      <c r="B2" s="18" t="inlineStr">
        <is>
          <t>Alexandre de Sanana Beck</t>
        </is>
      </c>
      <c r="C2" s="24" t="n"/>
      <c r="D2" s="18" t="n"/>
    </row>
    <row r="3">
      <c r="A3" s="19" t="n">
        <v>1</v>
      </c>
      <c r="B3" s="18" t="inlineStr">
        <is>
          <t>Antônio José Magalhães Leão Júnior</t>
        </is>
      </c>
      <c r="C3" s="24" t="n"/>
      <c r="D3" s="18" t="n"/>
    </row>
    <row r="4">
      <c r="A4" s="19" t="n">
        <v>1</v>
      </c>
      <c r="B4" s="18" t="inlineStr">
        <is>
          <t>Daniel Ferreira Santos Rabelo</t>
        </is>
      </c>
      <c r="C4" s="24" t="n"/>
      <c r="D4" s="18" t="n"/>
    </row>
    <row r="5">
      <c r="A5" s="19" t="n">
        <v>1</v>
      </c>
      <c r="B5" s="18" t="inlineStr">
        <is>
          <t>Diego Carlito Rodrigues de Souza</t>
        </is>
      </c>
      <c r="C5" s="24" t="n"/>
      <c r="D5" s="18" t="n"/>
    </row>
    <row r="6">
      <c r="A6" s="19" t="n">
        <v>1</v>
      </c>
      <c r="B6" s="18" t="inlineStr">
        <is>
          <t>Diogo Rodrigues Barboza</t>
        </is>
      </c>
      <c r="C6" s="24" t="n"/>
      <c r="D6" s="18" t="n"/>
    </row>
    <row r="7">
      <c r="A7" s="19" t="n">
        <v>1</v>
      </c>
      <c r="B7" s="18" t="inlineStr">
        <is>
          <t>Gabriel Marques de Souza</t>
        </is>
      </c>
      <c r="C7" s="24" t="n"/>
      <c r="D7" s="18" t="n"/>
    </row>
    <row r="8">
      <c r="A8" s="19" t="n">
        <v>1</v>
      </c>
      <c r="B8" s="18" t="inlineStr">
        <is>
          <t>Gabriel Moura</t>
        </is>
      </c>
      <c r="C8" s="24" t="n"/>
      <c r="D8" s="18" t="n"/>
    </row>
    <row r="9">
      <c r="A9" s="19" t="n">
        <v>1</v>
      </c>
      <c r="B9" s="18" t="inlineStr">
        <is>
          <t>Guilherme Storch</t>
        </is>
      </c>
      <c r="C9" s="24" t="n"/>
      <c r="D9" s="18" t="n"/>
    </row>
    <row r="10">
      <c r="A10" s="19" t="n">
        <v>1</v>
      </c>
      <c r="B10" s="18" t="inlineStr">
        <is>
          <t>Gustavo Roberto Silva de Melo</t>
        </is>
      </c>
      <c r="C10" s="24" t="n"/>
      <c r="D10" s="18" t="n"/>
    </row>
    <row r="11">
      <c r="A11" s="19" t="n">
        <v>1</v>
      </c>
      <c r="B11" s="18" t="inlineStr">
        <is>
          <t>Henrique Camelo Quenino</t>
        </is>
      </c>
      <c r="C11" s="24" t="n"/>
      <c r="D11" s="18" t="n"/>
    </row>
    <row r="12">
      <c r="A12" s="19" t="n">
        <v>1</v>
      </c>
      <c r="B12" s="18" t="inlineStr">
        <is>
          <t>Kathlyn Lara Murussi</t>
        </is>
      </c>
      <c r="C12" s="24" t="n"/>
      <c r="D12" s="18" t="n"/>
    </row>
    <row r="13">
      <c r="A13" s="19" t="n">
        <v>1</v>
      </c>
      <c r="B13" s="18" t="inlineStr">
        <is>
          <t>Lucas Bottino</t>
        </is>
      </c>
      <c r="C13" s="24" t="n"/>
      <c r="D13" s="18" t="n"/>
    </row>
    <row r="14">
      <c r="A14" s="19" t="n">
        <v>1</v>
      </c>
      <c r="B14" s="18" t="inlineStr">
        <is>
          <t>Luciano Freitas</t>
        </is>
      </c>
      <c r="C14" s="24" t="n"/>
      <c r="D14" s="18" t="n"/>
    </row>
    <row r="15">
      <c r="A15" s="19" t="n">
        <v>1</v>
      </c>
      <c r="B15" s="18" t="inlineStr">
        <is>
          <t>Luiza Maluf</t>
        </is>
      </c>
      <c r="C15" s="24" t="n"/>
      <c r="D15" s="18" t="n"/>
    </row>
    <row r="16">
      <c r="A16" s="19" t="n">
        <v>1</v>
      </c>
      <c r="B16" s="18" t="inlineStr">
        <is>
          <t>Manoel Felipe Teixeira Neto</t>
        </is>
      </c>
      <c r="C16" s="24" t="n"/>
      <c r="D16" s="18" t="n"/>
    </row>
    <row r="17">
      <c r="A17" s="19" t="n">
        <v>1</v>
      </c>
      <c r="B17" s="18" t="inlineStr">
        <is>
          <t>Marcos Antonio Teles de Castilhos</t>
        </is>
      </c>
      <c r="C17" s="24" t="n"/>
      <c r="D17" s="18" t="n"/>
    </row>
    <row r="18">
      <c r="A18" s="19" t="n">
        <v>1</v>
      </c>
      <c r="B18" s="18" t="inlineStr">
        <is>
          <t>Milena Fernandes Rocha</t>
        </is>
      </c>
      <c r="C18" s="24" t="n"/>
      <c r="D18" s="18" t="n"/>
    </row>
    <row r="19">
      <c r="A19" s="19" t="n">
        <v>1</v>
      </c>
      <c r="B19" s="18" t="inlineStr">
        <is>
          <t>Nathan Benigno Ponce de Abreu</t>
        </is>
      </c>
      <c r="C19" s="24" t="n"/>
      <c r="D19" s="18" t="n"/>
    </row>
    <row r="20">
      <c r="A20" s="19" t="n">
        <v>1</v>
      </c>
      <c r="B20" s="18" t="inlineStr">
        <is>
          <t>Pedro Sena Barbosa Holtz Yen</t>
        </is>
      </c>
      <c r="C20" s="24" t="n"/>
      <c r="D20" s="18" t="n"/>
    </row>
    <row r="21">
      <c r="A21" s="19" t="n">
        <v>1</v>
      </c>
      <c r="B21" s="18" t="inlineStr">
        <is>
          <t>Wallyson Souza</t>
        </is>
      </c>
      <c r="C21" s="24" t="n"/>
      <c r="D21" s="18" t="n"/>
    </row>
    <row r="22">
      <c r="A22" s="19" t="n">
        <v>2</v>
      </c>
      <c r="B22" s="18" t="inlineStr">
        <is>
          <t>Alexandre de Sanana Beck</t>
        </is>
      </c>
      <c r="C22" s="24" t="n"/>
      <c r="D22" s="18" t="n"/>
    </row>
    <row r="23">
      <c r="A23" s="19" t="n">
        <v>2</v>
      </c>
      <c r="B23" s="18" t="inlineStr">
        <is>
          <t>Antônio José Magalhães Leão Júnior</t>
        </is>
      </c>
      <c r="C23" s="24" t="n"/>
      <c r="D23" s="18" t="n"/>
    </row>
    <row r="24">
      <c r="A24" s="19" t="n">
        <v>2</v>
      </c>
      <c r="B24" s="18" t="inlineStr">
        <is>
          <t>Daniel Ferreira Santos Rabelo</t>
        </is>
      </c>
      <c r="C24" s="24" t="n"/>
      <c r="D24" s="18" t="n"/>
    </row>
    <row r="25">
      <c r="A25" s="19" t="n">
        <v>2</v>
      </c>
      <c r="B25" s="18" t="inlineStr">
        <is>
          <t>Diego Carlito Rodrigues de Souza</t>
        </is>
      </c>
      <c r="C25" s="24" t="n"/>
      <c r="D25" s="18" t="n"/>
    </row>
    <row r="26">
      <c r="A26" s="19" t="n">
        <v>2</v>
      </c>
      <c r="B26" s="18" t="inlineStr">
        <is>
          <t>Diogo Rodrigues Barboza</t>
        </is>
      </c>
      <c r="C26" s="24" t="n"/>
      <c r="D26" s="18" t="n"/>
    </row>
    <row r="27">
      <c r="A27" s="19" t="n">
        <v>2</v>
      </c>
      <c r="B27" s="18" t="inlineStr">
        <is>
          <t>Gabriel Marques de Souza</t>
        </is>
      </c>
      <c r="C27" s="24" t="n"/>
      <c r="D27" s="18" t="n"/>
    </row>
    <row r="28">
      <c r="A28" s="19" t="n">
        <v>2</v>
      </c>
      <c r="B28" s="18" t="inlineStr">
        <is>
          <t>Gabriel Moura</t>
        </is>
      </c>
      <c r="C28" s="24" t="n"/>
      <c r="D28" s="18" t="n"/>
    </row>
    <row r="29">
      <c r="A29" s="19" t="n">
        <v>2</v>
      </c>
      <c r="B29" s="18" t="inlineStr">
        <is>
          <t>Guilherme Storch</t>
        </is>
      </c>
      <c r="C29" s="24" t="n"/>
      <c r="D29" s="18" t="n"/>
    </row>
    <row r="30">
      <c r="A30" s="19" t="n">
        <v>2</v>
      </c>
      <c r="B30" s="18" t="inlineStr">
        <is>
          <t>Gustavo Roberto Silva de Melo</t>
        </is>
      </c>
      <c r="C30" s="24" t="n"/>
      <c r="D30" s="18" t="n"/>
    </row>
    <row r="31">
      <c r="A31" s="19" t="n">
        <v>2</v>
      </c>
      <c r="B31" s="18" t="inlineStr">
        <is>
          <t>Henrique Camelo Quenino</t>
        </is>
      </c>
      <c r="C31" s="24" t="n"/>
      <c r="D31" s="18" t="n"/>
    </row>
    <row r="32">
      <c r="A32" s="19" t="n">
        <v>2</v>
      </c>
      <c r="B32" s="18" t="inlineStr">
        <is>
          <t>Kathlyn Lara Murussi</t>
        </is>
      </c>
      <c r="C32" s="24" t="n"/>
      <c r="D32" s="18" t="n"/>
    </row>
    <row r="33">
      <c r="A33" s="19" t="n">
        <v>2</v>
      </c>
      <c r="B33" s="18" t="inlineStr">
        <is>
          <t>Lucas Bottino</t>
        </is>
      </c>
      <c r="C33" s="24" t="n"/>
      <c r="D33" s="18" t="n"/>
    </row>
    <row r="34">
      <c r="A34" s="19" t="n">
        <v>2</v>
      </c>
      <c r="B34" s="18" t="inlineStr">
        <is>
          <t>Luciano Freitas</t>
        </is>
      </c>
      <c r="C34" s="24" t="n"/>
      <c r="D34" s="18" t="n"/>
    </row>
    <row r="35">
      <c r="A35" s="19" t="n">
        <v>2</v>
      </c>
      <c r="B35" s="18" t="inlineStr">
        <is>
          <t>Luiza Maluf</t>
        </is>
      </c>
      <c r="C35" s="24" t="n"/>
      <c r="D35" s="18" t="n"/>
    </row>
    <row r="36">
      <c r="A36" s="19" t="n">
        <v>2</v>
      </c>
      <c r="B36" s="18" t="inlineStr">
        <is>
          <t>Manoel Felipe Teixeira Neto</t>
        </is>
      </c>
      <c r="C36" s="24" t="n"/>
      <c r="D36" s="18" t="n"/>
    </row>
    <row r="37">
      <c r="A37" s="19" t="n">
        <v>2</v>
      </c>
      <c r="B37" s="18" t="inlineStr">
        <is>
          <t>Marcos Antonio Teles de Castilhos</t>
        </is>
      </c>
      <c r="C37" s="24" t="n"/>
      <c r="D37" s="18" t="n"/>
    </row>
    <row r="38">
      <c r="A38" s="19" t="n">
        <v>2</v>
      </c>
      <c r="B38" s="18" t="inlineStr">
        <is>
          <t>Milena Fernandes Rocha</t>
        </is>
      </c>
      <c r="C38" s="24" t="n"/>
      <c r="D38" s="18" t="n"/>
    </row>
    <row r="39">
      <c r="A39" s="19" t="n">
        <v>2</v>
      </c>
      <c r="B39" s="18" t="inlineStr">
        <is>
          <t>Nathan Benigno Ponce de Abreu</t>
        </is>
      </c>
      <c r="C39" s="24" t="n"/>
      <c r="D39" s="18" t="n"/>
    </row>
    <row r="40">
      <c r="A40" s="19" t="n">
        <v>2</v>
      </c>
      <c r="B40" s="18" t="inlineStr">
        <is>
          <t>Pedro Sena Barbosa Holtz Yen</t>
        </is>
      </c>
      <c r="C40" s="24" t="n"/>
      <c r="D40" s="18" t="n"/>
    </row>
    <row r="41">
      <c r="A41" s="19" t="n">
        <v>2</v>
      </c>
      <c r="B41" s="18" t="inlineStr">
        <is>
          <t>Wallyson Souza</t>
        </is>
      </c>
      <c r="C41" s="24" t="n"/>
      <c r="D41" s="18" t="n"/>
    </row>
    <row r="42">
      <c r="A42" s="19" t="n">
        <v>3</v>
      </c>
      <c r="B42" s="18" t="inlineStr">
        <is>
          <t>Alexandre de Sanana Beck</t>
        </is>
      </c>
      <c r="C42" s="24" t="n"/>
      <c r="D42" s="18" t="n"/>
    </row>
    <row r="43">
      <c r="A43" s="19" t="n">
        <v>3</v>
      </c>
      <c r="B43" s="18" t="inlineStr">
        <is>
          <t>Antônio José Magalhães Leão Júnior</t>
        </is>
      </c>
      <c r="C43" s="24" t="n"/>
      <c r="D43" s="18" t="n"/>
    </row>
    <row r="44">
      <c r="A44" s="19" t="n">
        <v>3</v>
      </c>
      <c r="B44" s="18" t="inlineStr">
        <is>
          <t>Daniel Ferreira Santos Rabelo</t>
        </is>
      </c>
      <c r="C44" s="24" t="n"/>
      <c r="D44" s="18" t="n"/>
    </row>
    <row r="45">
      <c r="A45" s="19" t="n">
        <v>3</v>
      </c>
      <c r="B45" s="18" t="inlineStr">
        <is>
          <t>Diego Carlito Rodrigues de Souza</t>
        </is>
      </c>
      <c r="C45" s="24" t="n"/>
      <c r="D45" s="18" t="n"/>
    </row>
    <row r="46">
      <c r="A46" s="19" t="n">
        <v>3</v>
      </c>
      <c r="B46" s="18" t="inlineStr">
        <is>
          <t>Diogo Rodrigues Barboza</t>
        </is>
      </c>
      <c r="C46" s="24" t="n"/>
      <c r="D46" s="18" t="n"/>
    </row>
    <row r="47">
      <c r="A47" s="19" t="n">
        <v>3</v>
      </c>
      <c r="B47" s="18" t="inlineStr">
        <is>
          <t>Gabriel Marques de Souza</t>
        </is>
      </c>
      <c r="C47" s="24" t="n"/>
      <c r="D47" s="18" t="n"/>
    </row>
    <row r="48">
      <c r="A48" s="19" t="n">
        <v>3</v>
      </c>
      <c r="B48" s="18" t="inlineStr">
        <is>
          <t>Gabriel Moura</t>
        </is>
      </c>
      <c r="C48" s="24" t="n"/>
      <c r="D48" s="18" t="n"/>
    </row>
    <row r="49">
      <c r="A49" s="19" t="n">
        <v>3</v>
      </c>
      <c r="B49" s="18" t="inlineStr">
        <is>
          <t>Guilherme Storch</t>
        </is>
      </c>
      <c r="C49" s="24" t="n"/>
      <c r="D49" s="18" t="n"/>
    </row>
    <row r="50">
      <c r="A50" s="19" t="n">
        <v>3</v>
      </c>
      <c r="B50" s="18" t="inlineStr">
        <is>
          <t>Gustavo Roberto Silva de Melo</t>
        </is>
      </c>
      <c r="C50" s="24" t="n"/>
      <c r="D50" s="18" t="n"/>
    </row>
    <row r="51">
      <c r="A51" s="19" t="n">
        <v>3</v>
      </c>
      <c r="B51" s="18" t="inlineStr">
        <is>
          <t>Henrique Camelo Quenino</t>
        </is>
      </c>
      <c r="C51" s="24" t="n"/>
      <c r="D51" s="18" t="n"/>
    </row>
    <row r="52">
      <c r="A52" s="19" t="n">
        <v>3</v>
      </c>
      <c r="B52" s="18" t="inlineStr">
        <is>
          <t>Kathlyn Lara Murussi</t>
        </is>
      </c>
      <c r="C52" s="24" t="n"/>
      <c r="D52" s="18" t="n"/>
    </row>
    <row r="53">
      <c r="A53" s="19" t="n">
        <v>3</v>
      </c>
      <c r="B53" s="18" t="inlineStr">
        <is>
          <t>Lucas Bottino</t>
        </is>
      </c>
      <c r="C53" s="24" t="n"/>
      <c r="D53" s="18" t="n"/>
    </row>
    <row r="54">
      <c r="A54" s="19" t="n">
        <v>3</v>
      </c>
      <c r="B54" s="18" t="inlineStr">
        <is>
          <t>Luciano Freitas</t>
        </is>
      </c>
      <c r="C54" s="24" t="n"/>
      <c r="D54" s="18" t="n"/>
    </row>
    <row r="55">
      <c r="A55" s="19" t="n">
        <v>3</v>
      </c>
      <c r="B55" s="18" t="inlineStr">
        <is>
          <t>Luiza Maluf</t>
        </is>
      </c>
      <c r="C55" s="24" t="n"/>
      <c r="D55" s="18" t="n"/>
    </row>
    <row r="56">
      <c r="A56" s="19" t="n">
        <v>3</v>
      </c>
      <c r="B56" s="18" t="inlineStr">
        <is>
          <t>Manoel Felipe Teixeira Neto</t>
        </is>
      </c>
      <c r="C56" s="24" t="n"/>
      <c r="D56" s="18" t="n"/>
    </row>
    <row r="57">
      <c r="A57" s="19" t="n">
        <v>3</v>
      </c>
      <c r="B57" s="18" t="inlineStr">
        <is>
          <t>Marcos Antonio Teles de Castilhos</t>
        </is>
      </c>
      <c r="C57" s="24" t="n"/>
      <c r="D57" s="18" t="n"/>
    </row>
    <row r="58">
      <c r="A58" s="19" t="n">
        <v>3</v>
      </c>
      <c r="B58" s="18" t="inlineStr">
        <is>
          <t>Milena Fernandes Rocha</t>
        </is>
      </c>
      <c r="C58" s="24" t="n"/>
      <c r="D58" s="18" t="n"/>
    </row>
    <row r="59">
      <c r="A59" s="19" t="n">
        <v>3</v>
      </c>
      <c r="B59" s="18" t="inlineStr">
        <is>
          <t>Nathan Benigno Ponce de Abreu</t>
        </is>
      </c>
      <c r="C59" s="24" t="n"/>
      <c r="D59" s="18" t="n"/>
    </row>
    <row r="60">
      <c r="A60" s="19" t="n">
        <v>3</v>
      </c>
      <c r="B60" s="18" t="inlineStr">
        <is>
          <t>Pedro Sena Barbosa Holtz Yen</t>
        </is>
      </c>
      <c r="C60" s="24" t="n"/>
      <c r="D60" s="18" t="n"/>
    </row>
    <row r="61">
      <c r="A61" s="19" t="n">
        <v>3</v>
      </c>
      <c r="B61" s="18" t="inlineStr">
        <is>
          <t>Wallyson Souza</t>
        </is>
      </c>
      <c r="C61" s="24" t="n"/>
      <c r="D61" s="18" t="n"/>
    </row>
    <row r="62">
      <c r="A62" s="19" t="n">
        <v>4</v>
      </c>
      <c r="B62" s="18" t="inlineStr">
        <is>
          <t>Alexandre de Sanana Beck</t>
        </is>
      </c>
      <c r="C62" s="24" t="n"/>
      <c r="D62" s="18" t="n"/>
    </row>
    <row r="63">
      <c r="A63" s="19" t="n">
        <v>4</v>
      </c>
      <c r="B63" s="18" t="inlineStr">
        <is>
          <t>Antônio José Magalhães Leão Júnior</t>
        </is>
      </c>
      <c r="C63" s="24" t="n"/>
      <c r="D63" s="18" t="n"/>
    </row>
    <row r="64">
      <c r="A64" s="19" t="n">
        <v>4</v>
      </c>
      <c r="B64" s="18" t="inlineStr">
        <is>
          <t>Daniel Ferreira Santos Rabelo</t>
        </is>
      </c>
      <c r="C64" s="24" t="n"/>
      <c r="D64" s="18" t="n"/>
    </row>
    <row r="65">
      <c r="A65" s="19" t="n">
        <v>4</v>
      </c>
      <c r="B65" s="18" t="inlineStr">
        <is>
          <t>Diego Carlito Rodrigues de Souza</t>
        </is>
      </c>
      <c r="C65" s="24" t="n"/>
      <c r="D65" s="18" t="n"/>
    </row>
    <row r="66">
      <c r="A66" s="19" t="n">
        <v>4</v>
      </c>
      <c r="B66" s="18" t="inlineStr">
        <is>
          <t>Diogo Rodrigues Barboza</t>
        </is>
      </c>
      <c r="C66" s="24" t="n"/>
      <c r="D66" s="18" t="n"/>
    </row>
    <row r="67">
      <c r="A67" s="19" t="n">
        <v>4</v>
      </c>
      <c r="B67" s="18" t="inlineStr">
        <is>
          <t>Gabriel Marques de Souza</t>
        </is>
      </c>
      <c r="C67" s="24" t="n"/>
      <c r="D67" s="18" t="n"/>
    </row>
    <row r="68">
      <c r="A68" s="19" t="n">
        <v>4</v>
      </c>
      <c r="B68" s="18" t="inlineStr">
        <is>
          <t>Gabriel Moura</t>
        </is>
      </c>
      <c r="C68" s="24" t="n"/>
      <c r="D68" s="18" t="n"/>
    </row>
    <row r="69">
      <c r="A69" s="19" t="n">
        <v>4</v>
      </c>
      <c r="B69" s="18" t="inlineStr">
        <is>
          <t>Guilherme Storch</t>
        </is>
      </c>
      <c r="C69" s="24" t="n"/>
      <c r="D69" s="18" t="n"/>
    </row>
    <row r="70">
      <c r="A70" s="19" t="n">
        <v>4</v>
      </c>
      <c r="B70" s="18" t="inlineStr">
        <is>
          <t>Gustavo Roberto Silva de Melo</t>
        </is>
      </c>
      <c r="C70" s="24" t="n"/>
      <c r="D70" s="18" t="n"/>
    </row>
    <row r="71">
      <c r="A71" s="19" t="n">
        <v>4</v>
      </c>
      <c r="B71" s="18" t="inlineStr">
        <is>
          <t>Henrique Camelo Quenino</t>
        </is>
      </c>
      <c r="C71" s="24" t="n"/>
      <c r="D71" s="18" t="n"/>
    </row>
    <row r="72">
      <c r="A72" s="19" t="n">
        <v>4</v>
      </c>
      <c r="B72" s="18" t="inlineStr">
        <is>
          <t>Kathlyn Lara Murussi</t>
        </is>
      </c>
      <c r="C72" s="24" t="n"/>
      <c r="D72" s="18" t="n"/>
    </row>
    <row r="73">
      <c r="A73" s="19" t="n">
        <v>4</v>
      </c>
      <c r="B73" s="18" t="inlineStr">
        <is>
          <t>Lucas Bottino</t>
        </is>
      </c>
      <c r="C73" s="24" t="n"/>
      <c r="D73" s="18" t="n"/>
    </row>
    <row r="74">
      <c r="A74" s="19" t="n">
        <v>4</v>
      </c>
      <c r="B74" s="18" t="inlineStr">
        <is>
          <t>Luciano Freitas</t>
        </is>
      </c>
      <c r="C74" s="24" t="n"/>
      <c r="D74" s="18" t="n"/>
    </row>
    <row r="75">
      <c r="A75" s="19" t="n">
        <v>4</v>
      </c>
      <c r="B75" s="18" t="inlineStr">
        <is>
          <t>Luiza Maluf</t>
        </is>
      </c>
      <c r="C75" s="24" t="n"/>
      <c r="D75" s="18" t="n"/>
    </row>
    <row r="76">
      <c r="A76" s="19" t="n">
        <v>4</v>
      </c>
      <c r="B76" s="18" t="inlineStr">
        <is>
          <t>Manoel Felipe Teixeira Neto</t>
        </is>
      </c>
      <c r="C76" s="24" t="n"/>
      <c r="D76" s="18" t="n"/>
    </row>
    <row r="77">
      <c r="A77" s="19" t="n">
        <v>4</v>
      </c>
      <c r="B77" s="18" t="inlineStr">
        <is>
          <t>Marcos Antonio Teles de Castilhos</t>
        </is>
      </c>
      <c r="C77" s="24" t="n"/>
      <c r="D77" s="18" t="n"/>
    </row>
    <row r="78">
      <c r="A78" s="19" t="n">
        <v>4</v>
      </c>
      <c r="B78" s="18" t="inlineStr">
        <is>
          <t>Milena Fernandes Rocha</t>
        </is>
      </c>
      <c r="C78" s="24" t="n"/>
      <c r="D78" s="18" t="n"/>
    </row>
    <row r="79">
      <c r="A79" s="19" t="n">
        <v>4</v>
      </c>
      <c r="B79" s="18" t="inlineStr">
        <is>
          <t>Nathan Benigno Ponce de Abreu</t>
        </is>
      </c>
      <c r="C79" s="24" t="n"/>
      <c r="D79" s="18" t="n"/>
    </row>
    <row r="80">
      <c r="A80" s="19" t="n">
        <v>4</v>
      </c>
      <c r="B80" s="18" t="inlineStr">
        <is>
          <t>Pedro Sena Barbosa Holtz Yen</t>
        </is>
      </c>
      <c r="C80" s="24" t="n"/>
      <c r="D80" s="18" t="n"/>
    </row>
    <row r="81">
      <c r="A81" s="19" t="n">
        <v>4</v>
      </c>
      <c r="B81" s="18" t="inlineStr">
        <is>
          <t>Wallyson Souza</t>
        </is>
      </c>
      <c r="C81" s="24" t="n"/>
      <c r="D81" s="18" t="n"/>
    </row>
  </sheetData>
  <dataValidations count="1">
    <dataValidation sqref="B2:B400" showDropDown="0" showInputMessage="1" showErrorMessage="1" allowBlank="1" error="Escolha um valor da lista." prompt="Escolha o integrante." type="list">
      <formula1>=Planejamento!$A$2:$A$31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F3A5F"/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9" customWidth="1" min="5" max="5"/>
    <col width="9" customWidth="1" min="6" max="6"/>
    <col width="11" customWidth="1" min="7" max="7"/>
    <col width="10" customWidth="1" min="8" max="8"/>
    <col width="11" customWidth="1" min="9" max="9"/>
    <col width="14" customWidth="1" min="10" max="10"/>
    <col width="13" customWidth="1" min="11" max="11"/>
    <col width="13" customWidth="1" min="12" max="12"/>
    <col width="13" customWidth="1" min="13" max="13"/>
    <col width="7" customWidth="1" min="14" max="14"/>
    <col width="7" customWidth="1" min="15" max="15"/>
    <col width="13" customWidth="1" min="16" max="16"/>
    <col width="50" customWidth="1" min="17" max="17"/>
  </cols>
  <sheetData>
    <row r="1" ht="42" customHeight="1">
      <c r="A1" s="10" t="inlineStr">
        <is>
          <t>Release</t>
        </is>
      </c>
      <c r="B1" s="10" t="inlineStr">
        <is>
          <t>Entrega</t>
        </is>
      </c>
      <c r="C1" s="9" t="inlineStr">
        <is>
          <t>Início</t>
        </is>
      </c>
      <c r="D1" s="9" t="inlineStr">
        <is>
          <t>Fim</t>
        </is>
      </c>
      <c r="E1" s="9" t="inlineStr">
        <is>
          <t>Sprints (L)</t>
        </is>
      </c>
      <c r="F1" s="9" t="inlineStr">
        <is>
          <t>Semanas</t>
        </is>
      </c>
      <c r="G1" s="10" t="inlineStr">
        <is>
          <t>PRP linha de base</t>
        </is>
      </c>
      <c r="H1" s="9" t="inlineStr">
        <is>
          <t>PRP atual</t>
        </is>
      </c>
      <c r="I1" s="9" t="inlineStr">
        <is>
          <t>Pontos concluídos (RPC)</t>
        </is>
      </c>
      <c r="J1" s="9" t="inlineStr">
        <is>
          <t>Orçamento (BAC)</t>
        </is>
      </c>
      <c r="K1" s="9" t="inlineStr">
        <is>
          <t>PV</t>
        </is>
      </c>
      <c r="L1" s="9" t="inlineStr">
        <is>
          <t>EV</t>
        </is>
      </c>
      <c r="M1" s="9" t="inlineStr">
        <is>
          <t>AC</t>
        </is>
      </c>
      <c r="N1" s="9" t="inlineStr">
        <is>
          <t>SPI</t>
        </is>
      </c>
      <c r="O1" s="9" t="inlineStr">
        <is>
          <t>CPI</t>
        </is>
      </c>
      <c r="P1" s="9" t="inlineStr">
        <is>
          <t>Término estimado (RD)</t>
        </is>
      </c>
      <c r="Q1" s="10" t="inlineStr">
        <is>
          <t>Observação</t>
        </is>
      </c>
    </row>
    <row r="2">
      <c r="A2" s="18" t="inlineStr">
        <is>
          <t>R1</t>
        </is>
      </c>
      <c r="B2" s="25" t="n">
        <v>46293</v>
      </c>
      <c r="C2" s="26">
        <f>_xlfn.MINIFS('EVM - Valor Agregado'!$C$2:$C$13,'EVM - Valor Agregado'!$A$2:$A$13,$A2)</f>
        <v/>
      </c>
      <c r="D2" s="26">
        <f>_xlfn.MAXIFS('EVM - Valor Agregado'!$D$2:$D$13,'EVM - Valor Agregado'!$A$2:$A$13,$A2)</f>
        <v/>
      </c>
      <c r="E2" s="20">
        <f>COUNTIF('EVM - Valor Agregado'!$A$2:$A$13,$A2)</f>
        <v/>
      </c>
      <c r="F2" s="20">
        <f>SUMIFS('EVM - Valor Agregado'!$E$2:$E$13,'EVM - Valor Agregado'!$A$2:$A$13,$A2)</f>
        <v/>
      </c>
      <c r="G2" s="19" t="n">
        <v>6</v>
      </c>
      <c r="H2" s="20">
        <f>IF(_xlfn.MAXIFS('EVM - Valor Agregado'!$B$2:$B$13,'EVM - Valor Agregado'!$A$2:$A$13,$A2,'EVM - Valor Agregado'!$G$2:$G$13,"&lt;&gt;")=0,"",SUMIFS('EVM - Valor Agregado'!$J$2:$J$13,'EVM - Valor Agregado'!$A$2:$A$13,$A2,'EVM - Valor Agregado'!$B$2:$B$13,_xlfn.MAXIFS('EVM - Valor Agregado'!$B$2:$B$13,'EVM - Valor Agregado'!$A$2:$A$13,$A2,'EVM - Valor Agregado'!$G$2:$G$13,"&lt;&gt;")))</f>
        <v/>
      </c>
      <c r="I2" s="20">
        <f>IF(_xlfn.MAXIFS('EVM - Valor Agregado'!$B$2:$B$13,'EVM - Valor Agregado'!$A$2:$A$13,$A2,'EVM - Valor Agregado'!$G$2:$G$13,"&lt;&gt;")=0,"",SUMIFS('EVM - Valor Agregado'!$K$2:$K$13,'EVM - Valor Agregado'!$A$2:$A$13,$A2,'EVM - Valor Agregado'!$B$2:$B$13,_xlfn.MAXIFS('EVM - Valor Agregado'!$B$2:$B$13,'EVM - Valor Agregado'!$A$2:$A$13,$A2,'EVM - Valor Agregado'!$G$2:$G$13,"&lt;&gt;")))</f>
        <v/>
      </c>
      <c r="J2" s="14">
        <f>SUMPRODUCT((Planejamento!$B$1:$O$1&gt;=C2)*(Planejamento!$B$1:$O$1&lt;=D2)*Planejamento!$B$33:$O$33)</f>
        <v/>
      </c>
      <c r="K2" s="14">
        <f>IF(_xlfn.MAXIFS('EVM - Valor Agregado'!$B$2:$B$13,'EVM - Valor Agregado'!$A$2:$A$13,$A2,'EVM - Valor Agregado'!$G$2:$G$13,"&lt;&gt;")=0,"",SUMIFS('EVM - Valor Agregado'!$P$2:$P$13,'EVM - Valor Agregado'!$A$2:$A$13,$A2,'EVM - Valor Agregado'!$B$2:$B$13,_xlfn.MAXIFS('EVM - Valor Agregado'!$B$2:$B$13,'EVM - Valor Agregado'!$A$2:$A$13,$A2,'EVM - Valor Agregado'!$G$2:$G$13,"&lt;&gt;")))</f>
        <v/>
      </c>
      <c r="L2" s="14">
        <f>IF(_xlfn.MAXIFS('EVM - Valor Agregado'!$B$2:$B$13,'EVM - Valor Agregado'!$A$2:$A$13,$A2,'EVM - Valor Agregado'!$G$2:$G$13,"&lt;&gt;")=0,"",SUMIFS('EVM - Valor Agregado'!$U$2:$U$13,'EVM - Valor Agregado'!$A$2:$A$13,$A2,'EVM - Valor Agregado'!$B$2:$B$13,_xlfn.MAXIFS('EVM - Valor Agregado'!$B$2:$B$13,'EVM - Valor Agregado'!$A$2:$A$13,$A2,'EVM - Valor Agregado'!$G$2:$G$13,"&lt;&gt;")))</f>
        <v/>
      </c>
      <c r="M2" s="14">
        <f>IF(_xlfn.MAXIFS('EVM - Valor Agregado'!$B$2:$B$13,'EVM - Valor Agregado'!$A$2:$A$13,$A2,'EVM - Valor Agregado'!$G$2:$G$13,"&lt;&gt;")=0,"",SUMIFS('EVM - Valor Agregado'!$S$2:$S$13,'EVM - Valor Agregado'!$A$2:$A$13,$A2,'EVM - Valor Agregado'!$B$2:$B$13,_xlfn.MAXIFS('EVM - Valor Agregado'!$B$2:$B$13,'EVM - Valor Agregado'!$A$2:$A$13,$A2,'EVM - Valor Agregado'!$G$2:$G$13,"&lt;&gt;")))</f>
        <v/>
      </c>
      <c r="N2" s="27">
        <f>IF(OR(K2="",K2=0),"",L2/K2)</f>
        <v/>
      </c>
      <c r="O2" s="27">
        <f>IF(OR(M2="",M2=0),"",L2/M2)</f>
        <v/>
      </c>
      <c r="P2" s="26">
        <f>IF(OR(N2="",N2=0),"",C2+(D2-C2+1)/N2)</f>
        <v/>
      </c>
      <c r="Q2" s="18" t="inlineStr">
        <is>
          <t>Linha de base reconstituída: pontos da sprint 1 no Zenhub. Escopo foi entrando nas sprints 2 e 3 (PA).</t>
        </is>
      </c>
    </row>
    <row r="3">
      <c r="A3" s="18" t="inlineStr">
        <is>
          <t>R2</t>
        </is>
      </c>
      <c r="B3" s="25" t="n">
        <v>46321</v>
      </c>
      <c r="C3" s="26">
        <f>_xlfn.MINIFS('EVM - Valor Agregado'!$C$2:$C$13,'EVM - Valor Agregado'!$A$2:$A$13,$A3)</f>
        <v/>
      </c>
      <c r="D3" s="26">
        <f>_xlfn.MAXIFS('EVM - Valor Agregado'!$D$2:$D$13,'EVM - Valor Agregado'!$A$2:$A$13,$A3)</f>
        <v/>
      </c>
      <c r="E3" s="20">
        <f>COUNTIF('EVM - Valor Agregado'!$A$2:$A$13,$A3)</f>
        <v/>
      </c>
      <c r="F3" s="20">
        <f>SUMIFS('EVM - Valor Agregado'!$E$2:$E$13,'EVM - Valor Agregado'!$A$2:$A$13,$A3)</f>
        <v/>
      </c>
      <c r="G3" s="19" t="n"/>
      <c r="H3" s="20">
        <f>IF(_xlfn.MAXIFS('EVM - Valor Agregado'!$B$2:$B$13,'EVM - Valor Agregado'!$A$2:$A$13,$A3,'EVM - Valor Agregado'!$G$2:$G$13,"&lt;&gt;")=0,"",SUMIFS('EVM - Valor Agregado'!$J$2:$J$13,'EVM - Valor Agregado'!$A$2:$A$13,$A3,'EVM - Valor Agregado'!$B$2:$B$13,_xlfn.MAXIFS('EVM - Valor Agregado'!$B$2:$B$13,'EVM - Valor Agregado'!$A$2:$A$13,$A3,'EVM - Valor Agregado'!$G$2:$G$13,"&lt;&gt;")))</f>
        <v/>
      </c>
      <c r="I3" s="20">
        <f>IF(_xlfn.MAXIFS('EVM - Valor Agregado'!$B$2:$B$13,'EVM - Valor Agregado'!$A$2:$A$13,$A3,'EVM - Valor Agregado'!$G$2:$G$13,"&lt;&gt;")=0,"",SUMIFS('EVM - Valor Agregado'!$K$2:$K$13,'EVM - Valor Agregado'!$A$2:$A$13,$A3,'EVM - Valor Agregado'!$B$2:$B$13,_xlfn.MAXIFS('EVM - Valor Agregado'!$B$2:$B$13,'EVM - Valor Agregado'!$A$2:$A$13,$A3,'EVM - Valor Agregado'!$G$2:$G$13,"&lt;&gt;")))</f>
        <v/>
      </c>
      <c r="J3" s="14">
        <f>SUMPRODUCT((Planejamento!$B$1:$O$1&gt;=C3)*(Planejamento!$B$1:$O$1&lt;=D3)*Planejamento!$B$33:$O$33)</f>
        <v/>
      </c>
      <c r="K3" s="14">
        <f>IF(_xlfn.MAXIFS('EVM - Valor Agregado'!$B$2:$B$13,'EVM - Valor Agregado'!$A$2:$A$13,$A3,'EVM - Valor Agregado'!$G$2:$G$13,"&lt;&gt;")=0,"",SUMIFS('EVM - Valor Agregado'!$P$2:$P$13,'EVM - Valor Agregado'!$A$2:$A$13,$A3,'EVM - Valor Agregado'!$B$2:$B$13,_xlfn.MAXIFS('EVM - Valor Agregado'!$B$2:$B$13,'EVM - Valor Agregado'!$A$2:$A$13,$A3,'EVM - Valor Agregado'!$G$2:$G$13,"&lt;&gt;")))</f>
        <v/>
      </c>
      <c r="L3" s="14">
        <f>IF(_xlfn.MAXIFS('EVM - Valor Agregado'!$B$2:$B$13,'EVM - Valor Agregado'!$A$2:$A$13,$A3,'EVM - Valor Agregado'!$G$2:$G$13,"&lt;&gt;")=0,"",SUMIFS('EVM - Valor Agregado'!$U$2:$U$13,'EVM - Valor Agregado'!$A$2:$A$13,$A3,'EVM - Valor Agregado'!$B$2:$B$13,_xlfn.MAXIFS('EVM - Valor Agregado'!$B$2:$B$13,'EVM - Valor Agregado'!$A$2:$A$13,$A3,'EVM - Valor Agregado'!$G$2:$G$13,"&lt;&gt;")))</f>
        <v/>
      </c>
      <c r="M3" s="14">
        <f>IF(_xlfn.MAXIFS('EVM - Valor Agregado'!$B$2:$B$13,'EVM - Valor Agregado'!$A$2:$A$13,$A3,'EVM - Valor Agregado'!$G$2:$G$13,"&lt;&gt;")=0,"",SUMIFS('EVM - Valor Agregado'!$S$2:$S$13,'EVM - Valor Agregado'!$A$2:$A$13,$A3,'EVM - Valor Agregado'!$B$2:$B$13,_xlfn.MAXIFS('EVM - Valor Agregado'!$B$2:$B$13,'EVM - Valor Agregado'!$A$2:$A$13,$A3,'EVM - Valor Agregado'!$G$2:$G$13,"&lt;&gt;")))</f>
        <v/>
      </c>
      <c r="N3" s="27">
        <f>IF(OR(K3="",K3=0),"",L3/K3)</f>
        <v/>
      </c>
      <c r="O3" s="27">
        <f>IF(OR(M3="",M3=0),"",L3/M3)</f>
        <v/>
      </c>
      <c r="P3" s="26">
        <f>IF(OR(N3="",N3=0),"",C3+(D3-C3+1)/N3)</f>
        <v/>
      </c>
      <c r="Q3" s="18" t="inlineStr">
        <is>
          <t>Congelar o PRP na planning de 28/09.</t>
        </is>
      </c>
    </row>
    <row r="4">
      <c r="A4" s="18" t="inlineStr">
        <is>
          <t>R3</t>
        </is>
      </c>
      <c r="B4" s="25" t="n">
        <v>46356</v>
      </c>
      <c r="C4" s="26">
        <f>_xlfn.MINIFS('EVM - Valor Agregado'!$C$2:$C$13,'EVM - Valor Agregado'!$A$2:$A$13,$A4)</f>
        <v/>
      </c>
      <c r="D4" s="26">
        <f>_xlfn.MAXIFS('EVM - Valor Agregado'!$D$2:$D$13,'EVM - Valor Agregado'!$A$2:$A$13,$A4)</f>
        <v/>
      </c>
      <c r="E4" s="20">
        <f>COUNTIF('EVM - Valor Agregado'!$A$2:$A$13,$A4)</f>
        <v/>
      </c>
      <c r="F4" s="20">
        <f>SUMIFS('EVM - Valor Agregado'!$E$2:$E$13,'EVM - Valor Agregado'!$A$2:$A$13,$A4)</f>
        <v/>
      </c>
      <c r="G4" s="19" t="n"/>
      <c r="H4" s="20">
        <f>IF(_xlfn.MAXIFS('EVM - Valor Agregado'!$B$2:$B$13,'EVM - Valor Agregado'!$A$2:$A$13,$A4,'EVM - Valor Agregado'!$G$2:$G$13,"&lt;&gt;")=0,"",SUMIFS('EVM - Valor Agregado'!$J$2:$J$13,'EVM - Valor Agregado'!$A$2:$A$13,$A4,'EVM - Valor Agregado'!$B$2:$B$13,_xlfn.MAXIFS('EVM - Valor Agregado'!$B$2:$B$13,'EVM - Valor Agregado'!$A$2:$A$13,$A4,'EVM - Valor Agregado'!$G$2:$G$13,"&lt;&gt;")))</f>
        <v/>
      </c>
      <c r="I4" s="20">
        <f>IF(_xlfn.MAXIFS('EVM - Valor Agregado'!$B$2:$B$13,'EVM - Valor Agregado'!$A$2:$A$13,$A4,'EVM - Valor Agregado'!$G$2:$G$13,"&lt;&gt;")=0,"",SUMIFS('EVM - Valor Agregado'!$K$2:$K$13,'EVM - Valor Agregado'!$A$2:$A$13,$A4,'EVM - Valor Agregado'!$B$2:$B$13,_xlfn.MAXIFS('EVM - Valor Agregado'!$B$2:$B$13,'EVM - Valor Agregado'!$A$2:$A$13,$A4,'EVM - Valor Agregado'!$G$2:$G$13,"&lt;&gt;")))</f>
        <v/>
      </c>
      <c r="J4" s="14">
        <f>SUMPRODUCT((Planejamento!$B$1:$O$1&gt;=C4)*(Planejamento!$B$1:$O$1&lt;=D4)*Planejamento!$B$33:$O$33)</f>
        <v/>
      </c>
      <c r="K4" s="14">
        <f>IF(_xlfn.MAXIFS('EVM - Valor Agregado'!$B$2:$B$13,'EVM - Valor Agregado'!$A$2:$A$13,$A4,'EVM - Valor Agregado'!$G$2:$G$13,"&lt;&gt;")=0,"",SUMIFS('EVM - Valor Agregado'!$P$2:$P$13,'EVM - Valor Agregado'!$A$2:$A$13,$A4,'EVM - Valor Agregado'!$B$2:$B$13,_xlfn.MAXIFS('EVM - Valor Agregado'!$B$2:$B$13,'EVM - Valor Agregado'!$A$2:$A$13,$A4,'EVM - Valor Agregado'!$G$2:$G$13,"&lt;&gt;")))</f>
        <v/>
      </c>
      <c r="L4" s="14">
        <f>IF(_xlfn.MAXIFS('EVM - Valor Agregado'!$B$2:$B$13,'EVM - Valor Agregado'!$A$2:$A$13,$A4,'EVM - Valor Agregado'!$G$2:$G$13,"&lt;&gt;")=0,"",SUMIFS('EVM - Valor Agregado'!$U$2:$U$13,'EVM - Valor Agregado'!$A$2:$A$13,$A4,'EVM - Valor Agregado'!$B$2:$B$13,_xlfn.MAXIFS('EVM - Valor Agregado'!$B$2:$B$13,'EVM - Valor Agregado'!$A$2:$A$13,$A4,'EVM - Valor Agregado'!$G$2:$G$13,"&lt;&gt;")))</f>
        <v/>
      </c>
      <c r="M4" s="14">
        <f>IF(_xlfn.MAXIFS('EVM - Valor Agregado'!$B$2:$B$13,'EVM - Valor Agregado'!$A$2:$A$13,$A4,'EVM - Valor Agregado'!$G$2:$G$13,"&lt;&gt;")=0,"",SUMIFS('EVM - Valor Agregado'!$S$2:$S$13,'EVM - Valor Agregado'!$A$2:$A$13,$A4,'EVM - Valor Agregado'!$B$2:$B$13,_xlfn.MAXIFS('EVM - Valor Agregado'!$B$2:$B$13,'EVM - Valor Agregado'!$A$2:$A$13,$A4,'EVM - Valor Agregado'!$G$2:$G$13,"&lt;&gt;")))</f>
        <v/>
      </c>
      <c r="N4" s="27">
        <f>IF(OR(K4="",K4=0),"",L4/K4)</f>
        <v/>
      </c>
      <c r="O4" s="27">
        <f>IF(OR(M4="",M4=0),"",L4/M4)</f>
        <v/>
      </c>
      <c r="P4" s="26">
        <f>IF(OR(N4="",N4=0),"",C4+(D4-C4+1)/N4)</f>
        <v/>
      </c>
      <c r="Q4" s="18" t="inlineStr">
        <is>
          <t>Congelar o PRP na planning de 26/10.</t>
        </is>
      </c>
    </row>
    <row r="5">
      <c r="A5" s="22" t="inlineStr">
        <is>
          <t>Total</t>
        </is>
      </c>
      <c r="E5" s="20">
        <f>SUM(E2:E4)</f>
        <v/>
      </c>
      <c r="F5" s="20">
        <f>SUM(F2:F4)</f>
        <v/>
      </c>
      <c r="J5" s="14">
        <f>SUM(J2:J4)</f>
        <v/>
      </c>
    </row>
    <row r="7">
      <c r="A7" s="28" t="inlineStr">
        <is>
          <t>Fórmulas (Sulaiman, Barton &amp; Blackburn, 2006 — AgileEVM):</t>
        </is>
      </c>
    </row>
    <row r="8">
      <c r="A8" s="29" t="inlineStr">
        <is>
          <t>PPC = semanas decorridas da release ÷ semanas da release (é o n/L do artigo, ponderado porque as sprints 1 e 2 têm 2 semanas)</t>
        </is>
      </c>
    </row>
    <row r="9">
      <c r="A9" s="29" t="inlineStr">
        <is>
          <t>APC = RPC ÷ PRP     PV = PPC × BAC     EV = APC × BAC     AC = custo real acumulado (horas × custo/hora; sem horas, custo planejado)</t>
        </is>
      </c>
    </row>
    <row r="10">
      <c r="A10" s="29" t="inlineStr">
        <is>
          <t>SPI = EV ÷ PV     CPI = EV ÷ AC     SV = EV − PV     CV = EV − AC     ETC = (BAC − EV) ÷ CPI     EAC = AC + ETC</t>
        </is>
      </c>
    </row>
    <row r="11">
      <c r="A11" s="29" t="inlineStr">
        <is>
          <t>RD (término estimado) = início da release + duração ÷ SPI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/>
  </sheetPr>
  <dimension ref="A1:A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1" customWidth="1" min="4" max="4"/>
    <col width="8" customWidth="1" min="5" max="5"/>
    <col width="3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2" customWidth="1" min="15" max="15"/>
    <col width="13" customWidth="1" min="16" max="16"/>
    <col width="8" customWidth="1" min="17" max="17"/>
    <col width="12" customWidth="1" min="18" max="18"/>
    <col width="13" customWidth="1" min="19" max="19"/>
    <col width="12" customWidth="1" min="20" max="20"/>
    <col width="13" customWidth="1" min="21" max="21"/>
    <col width="13" customWidth="1" min="22" max="22"/>
    <col width="13" customWidth="1" min="23" max="23"/>
    <col width="8" customWidth="1" min="24" max="24"/>
    <col width="8" customWidth="1" min="25" max="25"/>
    <col width="13" customWidth="1" min="26" max="26"/>
    <col width="13" customWidth="1" min="27" max="27"/>
    <col width="11" customWidth="1" min="28" max="28"/>
  </cols>
  <sheetData>
    <row r="1" ht="58" customHeight="1">
      <c r="A1" s="10" t="inlineStr">
        <is>
          <t>Release</t>
        </is>
      </c>
      <c r="B1" s="10" t="inlineStr">
        <is>
          <t>Sprint (n)</t>
        </is>
      </c>
      <c r="C1" s="10" t="inlineStr">
        <is>
          <t>Início da sprint</t>
        </is>
      </c>
      <c r="D1" s="10" t="inlineStr">
        <is>
          <t>Fim da sprint</t>
        </is>
      </c>
      <c r="E1" s="9" t="inlineStr">
        <is>
          <t>Semanas</t>
        </is>
      </c>
      <c r="F1" s="10" t="inlineStr">
        <is>
          <t>Issues</t>
        </is>
      </c>
      <c r="G1" s="10" t="inlineStr">
        <is>
          <t>Pontos planejados (PP)</t>
        </is>
      </c>
      <c r="H1" s="10" t="inlineStr">
        <is>
          <t>Pontos concluídos (PC)</t>
        </is>
      </c>
      <c r="I1" s="10" t="inlineStr">
        <is>
          <t>Pontos adicionados (PA)</t>
        </is>
      </c>
      <c r="J1" s="9" t="inlineStr">
        <is>
          <t>Planned Release Points (PRP)</t>
        </is>
      </c>
      <c r="K1" s="9" t="inlineStr">
        <is>
          <t>Release Points Completed (RPC)</t>
        </is>
      </c>
      <c r="L1" s="9" t="inlineStr">
        <is>
          <t>Actual Percent Complete (APC)</t>
        </is>
      </c>
      <c r="M1" s="9" t="inlineStr">
        <is>
          <t>Planned Percent Complete (PPC)</t>
        </is>
      </c>
      <c r="N1" s="9" t="inlineStr">
        <is>
          <t>Budget at Completion (BAC)</t>
        </is>
      </c>
      <c r="O1" s="9" t="inlineStr">
        <is>
          <t>Sprint Cost (SC)</t>
        </is>
      </c>
      <c r="P1" s="9" t="inlineStr">
        <is>
          <t>Planned Value (PV)</t>
        </is>
      </c>
      <c r="Q1" s="9" t="inlineStr">
        <is>
          <t>Horas reais</t>
        </is>
      </c>
      <c r="R1" s="9" t="inlineStr">
        <is>
          <t>Custo da sprint</t>
        </is>
      </c>
      <c r="S1" s="9" t="inlineStr">
        <is>
          <t>Actual Cost (AC)</t>
        </is>
      </c>
      <c r="T1" s="9" t="inlineStr">
        <is>
          <t>Origem do AC</t>
        </is>
      </c>
      <c r="U1" s="9" t="inlineStr">
        <is>
          <t>Earned Value (EV)</t>
        </is>
      </c>
      <c r="V1" s="9" t="inlineStr">
        <is>
          <t>Cost Variance (CV)</t>
        </is>
      </c>
      <c r="W1" s="9" t="inlineStr">
        <is>
          <t>Schedule Variance (SV)</t>
        </is>
      </c>
      <c r="X1" s="9" t="inlineStr">
        <is>
          <t>Cost Performance Index (CPI)</t>
        </is>
      </c>
      <c r="Y1" s="9" t="inlineStr">
        <is>
          <t>Schedule Performance Index (SPI)</t>
        </is>
      </c>
      <c r="Z1" s="9" t="inlineStr">
        <is>
          <t>Estimate to Complete (ETC)</t>
        </is>
      </c>
      <c r="AA1" s="9" t="inlineStr">
        <is>
          <t>Estimate at Completion (EAC)</t>
        </is>
      </c>
      <c r="AB1" s="9" t="inlineStr">
        <is>
          <t>Release Date (RD)</t>
        </is>
      </c>
    </row>
    <row r="2">
      <c r="A2" s="30" t="inlineStr">
        <is>
          <t>R1</t>
        </is>
      </c>
      <c r="B2" s="31" t="n">
        <v>1</v>
      </c>
      <c r="C2" s="25" t="n">
        <v>46258</v>
      </c>
      <c r="D2" s="25" t="n">
        <v>46271</v>
      </c>
      <c r="E2" s="20">
        <f>(D2-C2+1)/7</f>
        <v/>
      </c>
      <c r="F2" s="18" t="inlineStr">
        <is>
          <t>DOC#15, DOC#38</t>
        </is>
      </c>
      <c r="G2" s="19" t="n">
        <v>6</v>
      </c>
      <c r="H2" s="19" t="n">
        <v>1</v>
      </c>
      <c r="I2" s="19" t="n">
        <v>0</v>
      </c>
      <c r="J2" s="20">
        <f>IF($G2="","",SUMIFS('Sumário EVM'!$G$2:$G$4,'Sumário EVM'!$A$2:$A$4,$A2)+SUMIFS($I$2:$I$13,$A$2:$A$13,$A2,$B$2:$B$13,"&lt;="&amp;$B2))</f>
        <v/>
      </c>
      <c r="K2" s="20">
        <f>IF($G2="","",SUMIFS($H$2:$H$13,$A$2:$A$13,$A2,$B$2:$B$13,"&lt;="&amp;$B2))</f>
        <v/>
      </c>
      <c r="L2" s="32">
        <f>IF(OR($G2="",J2=0),"",K2/J2)</f>
        <v/>
      </c>
      <c r="M2" s="32">
        <f>SUMIFS($E$2:$E$13,$A$2:$A$13,$A2,$B$2:$B$13,"&lt;="&amp;$B2)/SUMIFS($E$2:$E$13,$A$2:$A$13,$A2)</f>
        <v/>
      </c>
      <c r="N2" s="14">
        <f>SUMIFS('Sumário EVM'!$J$2:$J$4,'Sumário EVM'!$A$2:$A$4,$A2)</f>
        <v/>
      </c>
      <c r="O2" s="14">
        <f>SUMPRODUCT((Planejamento!$B$1:$O$1&gt;=C2)*(Planejamento!$B$1:$O$1&lt;=D2)*Planejamento!$B$33:$O$33)</f>
        <v/>
      </c>
      <c r="P2" s="14">
        <f>M2*N2</f>
        <v/>
      </c>
      <c r="Q2" s="33">
        <f>SUMIFS(Horas!$C$2:$C$1000,Horas!$A$2:$A$1000,B2)</f>
        <v/>
      </c>
      <c r="R2" s="14">
        <f>IF(Q2&gt;0,Q2*Custos!$D$25,O2)</f>
        <v/>
      </c>
      <c r="S2" s="14">
        <f>IF($G2="","",SUMIFS($R$2:$R$13,$A$2:$A$13,$A2,$B$2:$B$13,"&lt;="&amp;$B2))</f>
        <v/>
      </c>
      <c r="T2" s="23">
        <f>IF($G2="","",IF(Q2&gt;0,"horas reais","estimado (custo planejado)"))</f>
        <v/>
      </c>
      <c r="U2" s="14">
        <f>IF(L2="","",L2*N2)</f>
        <v/>
      </c>
      <c r="V2" s="14">
        <f>IF(U2="","",U2-S2)</f>
        <v/>
      </c>
      <c r="W2" s="14">
        <f>IF(U2="","",U2-P2)</f>
        <v/>
      </c>
      <c r="X2" s="27">
        <f>IF(OR(U2="",S2=0),"",U2/S2)</f>
        <v/>
      </c>
      <c r="Y2" s="27">
        <f>IF(OR(U2="",P2=0),"",U2/P2)</f>
        <v/>
      </c>
      <c r="Z2" s="14">
        <f>IF(OR(X2="",X2=0),"",(N2-U2)/X2)</f>
        <v/>
      </c>
      <c r="AA2" s="14">
        <f>IF(Z2="","",S2+Z2)</f>
        <v/>
      </c>
      <c r="AB2" s="26">
        <f>IF(OR(Y2="",Y2=0),"",_xlfn.MINIFS($C$2:$C$13,$A$2:$A$13,$A2)+(_xlfn.MAXIFS($D$2:$D$13,$A$2:$A$13,$A2)-_xlfn.MINIFS($C$2:$C$13,$A$2:$A$13,$A2)+1)/Y2)</f>
        <v/>
      </c>
    </row>
    <row r="3">
      <c r="A3" s="30" t="inlineStr">
        <is>
          <t>R1</t>
        </is>
      </c>
      <c r="B3" s="31" t="n">
        <v>2</v>
      </c>
      <c r="C3" s="25" t="n">
        <v>46272</v>
      </c>
      <c r="D3" s="25" t="n">
        <v>46285</v>
      </c>
      <c r="E3" s="20">
        <f>(D3-C3+1)/7</f>
        <v/>
      </c>
      <c r="F3" s="18" t="inlineStr">
        <is>
          <t>DOC#1, #3, #11, #17, #18, #38; Service#3</t>
        </is>
      </c>
      <c r="G3" s="19" t="n">
        <v>17</v>
      </c>
      <c r="H3" s="19" t="n">
        <v>0</v>
      </c>
      <c r="I3" s="19" t="n">
        <v>12</v>
      </c>
      <c r="J3" s="20">
        <f>IF($G3="","",SUMIFS('Sumário EVM'!$G$2:$G$4,'Sumário EVM'!$A$2:$A$4,$A3)+SUMIFS($I$2:$I$13,$A$2:$A$13,$A3,$B$2:$B$13,"&lt;="&amp;$B3))</f>
        <v/>
      </c>
      <c r="K3" s="20">
        <f>IF($G3="","",SUMIFS($H$2:$H$13,$A$2:$A$13,$A3,$B$2:$B$13,"&lt;="&amp;$B3))</f>
        <v/>
      </c>
      <c r="L3" s="32">
        <f>IF(OR($G3="",J3=0),"",K3/J3)</f>
        <v/>
      </c>
      <c r="M3" s="32">
        <f>SUMIFS($E$2:$E$13,$A$2:$A$13,$A3,$B$2:$B$13,"&lt;="&amp;$B3)/SUMIFS($E$2:$E$13,$A$2:$A$13,$A3)</f>
        <v/>
      </c>
      <c r="N3" s="14">
        <f>SUMIFS('Sumário EVM'!$J$2:$J$4,'Sumário EVM'!$A$2:$A$4,$A3)</f>
        <v/>
      </c>
      <c r="O3" s="14">
        <f>SUMPRODUCT((Planejamento!$B$1:$O$1&gt;=C3)*(Planejamento!$B$1:$O$1&lt;=D3)*Planejamento!$B$33:$O$33)</f>
        <v/>
      </c>
      <c r="P3" s="14">
        <f>M3*N3</f>
        <v/>
      </c>
      <c r="Q3" s="33">
        <f>SUMIFS(Horas!$C$2:$C$1000,Horas!$A$2:$A$1000,B3)</f>
        <v/>
      </c>
      <c r="R3" s="14">
        <f>IF(Q3&gt;0,Q3*Custos!$D$25,O3)</f>
        <v/>
      </c>
      <c r="S3" s="14">
        <f>IF($G3="","",SUMIFS($R$2:$R$13,$A$2:$A$13,$A3,$B$2:$B$13,"&lt;="&amp;$B3))</f>
        <v/>
      </c>
      <c r="T3" s="23">
        <f>IF($G3="","",IF(Q3&gt;0,"horas reais","estimado (custo planejado)"))</f>
        <v/>
      </c>
      <c r="U3" s="14">
        <f>IF(L3="","",L3*N3)</f>
        <v/>
      </c>
      <c r="V3" s="14">
        <f>IF(U3="","",U3-S3)</f>
        <v/>
      </c>
      <c r="W3" s="14">
        <f>IF(U3="","",U3-P3)</f>
        <v/>
      </c>
      <c r="X3" s="27">
        <f>IF(OR(U3="",S3=0),"",U3/S3)</f>
        <v/>
      </c>
      <c r="Y3" s="27">
        <f>IF(OR(U3="",P3=0),"",U3/P3)</f>
        <v/>
      </c>
      <c r="Z3" s="14">
        <f>IF(OR(X3="",X3=0),"",(N3-U3)/X3)</f>
        <v/>
      </c>
      <c r="AA3" s="14">
        <f>IF(Z3="","",S3+Z3)</f>
        <v/>
      </c>
      <c r="AB3" s="26">
        <f>IF(OR(Y3="",Y3=0),"",_xlfn.MINIFS($C$2:$C$13,$A$2:$A$13,$A3)+(_xlfn.MAXIFS($D$2:$D$13,$A$2:$A$13,$A3)-_xlfn.MINIFS($C$2:$C$13,$A$2:$A$13,$A3)+1)/Y3)</f>
        <v/>
      </c>
    </row>
    <row r="4">
      <c r="A4" s="30" t="inlineStr">
        <is>
          <t>R1</t>
        </is>
      </c>
      <c r="B4" s="31" t="n">
        <v>3</v>
      </c>
      <c r="C4" s="25" t="n">
        <v>46286</v>
      </c>
      <c r="D4" s="25" t="n">
        <v>46292</v>
      </c>
      <c r="E4" s="20">
        <f>(D4-C4+1)/7</f>
        <v/>
      </c>
      <c r="F4" s="18" t="inlineStr">
        <is>
          <t>45 issues (ver sprint Sep 21-27 no Zenhub)</t>
        </is>
      </c>
      <c r="G4" s="19" t="n">
        <v>132</v>
      </c>
      <c r="H4" s="19" t="n">
        <v>10</v>
      </c>
      <c r="I4" s="19" t="n">
        <v>115</v>
      </c>
      <c r="J4" s="20">
        <f>IF($G4="","",SUMIFS('Sumário EVM'!$G$2:$G$4,'Sumário EVM'!$A$2:$A$4,$A4)+SUMIFS($I$2:$I$13,$A$2:$A$13,$A4,$B$2:$B$13,"&lt;="&amp;$B4))</f>
        <v/>
      </c>
      <c r="K4" s="20">
        <f>IF($G4="","",SUMIFS($H$2:$H$13,$A$2:$A$13,$A4,$B$2:$B$13,"&lt;="&amp;$B4))</f>
        <v/>
      </c>
      <c r="L4" s="32">
        <f>IF(OR($G4="",J4=0),"",K4/J4)</f>
        <v/>
      </c>
      <c r="M4" s="32">
        <f>SUMIFS($E$2:$E$13,$A$2:$A$13,$A4,$B$2:$B$13,"&lt;="&amp;$B4)/SUMIFS($E$2:$E$13,$A$2:$A$13,$A4)</f>
        <v/>
      </c>
      <c r="N4" s="14">
        <f>SUMIFS('Sumário EVM'!$J$2:$J$4,'Sumário EVM'!$A$2:$A$4,$A4)</f>
        <v/>
      </c>
      <c r="O4" s="14">
        <f>SUMPRODUCT((Planejamento!$B$1:$O$1&gt;=C4)*(Planejamento!$B$1:$O$1&lt;=D4)*Planejamento!$B$33:$O$33)</f>
        <v/>
      </c>
      <c r="P4" s="14">
        <f>M4*N4</f>
        <v/>
      </c>
      <c r="Q4" s="33">
        <f>SUMIFS(Horas!$C$2:$C$1000,Horas!$A$2:$A$1000,B4)</f>
        <v/>
      </c>
      <c r="R4" s="14">
        <f>IF(Q4&gt;0,Q4*Custos!$D$25,O4)</f>
        <v/>
      </c>
      <c r="S4" s="14">
        <f>IF($G4="","",SUMIFS($R$2:$R$13,$A$2:$A$13,$A4,$B$2:$B$13,"&lt;="&amp;$B4))</f>
        <v/>
      </c>
      <c r="T4" s="23">
        <f>IF($G4="","",IF(Q4&gt;0,"horas reais","estimado (custo planejado)"))</f>
        <v/>
      </c>
      <c r="U4" s="14">
        <f>IF(L4="","",L4*N4)</f>
        <v/>
      </c>
      <c r="V4" s="14">
        <f>IF(U4="","",U4-S4)</f>
        <v/>
      </c>
      <c r="W4" s="14">
        <f>IF(U4="","",U4-P4)</f>
        <v/>
      </c>
      <c r="X4" s="27">
        <f>IF(OR(U4="",S4=0),"",U4/S4)</f>
        <v/>
      </c>
      <c r="Y4" s="27">
        <f>IF(OR(U4="",P4=0),"",U4/P4)</f>
        <v/>
      </c>
      <c r="Z4" s="14">
        <f>IF(OR(X4="",X4=0),"",(N4-U4)/X4)</f>
        <v/>
      </c>
      <c r="AA4" s="14">
        <f>IF(Z4="","",S4+Z4)</f>
        <v/>
      </c>
      <c r="AB4" s="26">
        <f>IF(OR(Y4="",Y4=0),"",_xlfn.MINIFS($C$2:$C$13,$A$2:$A$13,$A4)+(_xlfn.MAXIFS($D$2:$D$13,$A$2:$A$13,$A4)-_xlfn.MINIFS($C$2:$C$13,$A$2:$A$13,$A4)+1)/Y4)</f>
        <v/>
      </c>
    </row>
    <row r="5">
      <c r="A5" s="34" t="inlineStr">
        <is>
          <t>R2</t>
        </is>
      </c>
      <c r="B5" s="35" t="n">
        <v>4</v>
      </c>
      <c r="C5" s="25" t="n">
        <v>46293</v>
      </c>
      <c r="D5" s="25" t="n">
        <v>46299</v>
      </c>
      <c r="E5" s="20">
        <f>(D5-C5+1)/7</f>
        <v/>
      </c>
      <c r="F5" s="18" t="n"/>
      <c r="G5" s="19" t="n"/>
      <c r="H5" s="19" t="n"/>
      <c r="I5" s="19" t="n"/>
      <c r="J5" s="20">
        <f>IF($G5="","",SUMIFS('Sumário EVM'!$G$2:$G$4,'Sumário EVM'!$A$2:$A$4,$A5)+SUMIFS($I$2:$I$13,$A$2:$A$13,$A5,$B$2:$B$13,"&lt;="&amp;$B5))</f>
        <v/>
      </c>
      <c r="K5" s="20">
        <f>IF($G5="","",SUMIFS($H$2:$H$13,$A$2:$A$13,$A5,$B$2:$B$13,"&lt;="&amp;$B5))</f>
        <v/>
      </c>
      <c r="L5" s="32">
        <f>IF(OR($G5="",J5=0),"",K5/J5)</f>
        <v/>
      </c>
      <c r="M5" s="32">
        <f>SUMIFS($E$2:$E$13,$A$2:$A$13,$A5,$B$2:$B$13,"&lt;="&amp;$B5)/SUMIFS($E$2:$E$13,$A$2:$A$13,$A5)</f>
        <v/>
      </c>
      <c r="N5" s="14">
        <f>SUMIFS('Sumário EVM'!$J$2:$J$4,'Sumário EVM'!$A$2:$A$4,$A5)</f>
        <v/>
      </c>
      <c r="O5" s="14">
        <f>SUMPRODUCT((Planejamento!$B$1:$O$1&gt;=C5)*(Planejamento!$B$1:$O$1&lt;=D5)*Planejamento!$B$33:$O$33)</f>
        <v/>
      </c>
      <c r="P5" s="14">
        <f>M5*N5</f>
        <v/>
      </c>
      <c r="Q5" s="33">
        <f>SUMIFS(Horas!$C$2:$C$1000,Horas!$A$2:$A$1000,B5)</f>
        <v/>
      </c>
      <c r="R5" s="14">
        <f>IF(Q5&gt;0,Q5*Custos!$D$25,O5)</f>
        <v/>
      </c>
      <c r="S5" s="14">
        <f>IF($G5="","",SUMIFS($R$2:$R$13,$A$2:$A$13,$A5,$B$2:$B$13,"&lt;="&amp;$B5))</f>
        <v/>
      </c>
      <c r="T5" s="23">
        <f>IF($G5="","",IF(Q5&gt;0,"horas reais","estimado (custo planejado)"))</f>
        <v/>
      </c>
      <c r="U5" s="14">
        <f>IF(L5="","",L5*N5)</f>
        <v/>
      </c>
      <c r="V5" s="14">
        <f>IF(U5="","",U5-S5)</f>
        <v/>
      </c>
      <c r="W5" s="14">
        <f>IF(U5="","",U5-P5)</f>
        <v/>
      </c>
      <c r="X5" s="27">
        <f>IF(OR(U5="",S5=0),"",U5/S5)</f>
        <v/>
      </c>
      <c r="Y5" s="27">
        <f>IF(OR(U5="",P5=0),"",U5/P5)</f>
        <v/>
      </c>
      <c r="Z5" s="14">
        <f>IF(OR(X5="",X5=0),"",(N5-U5)/X5)</f>
        <v/>
      </c>
      <c r="AA5" s="14">
        <f>IF(Z5="","",S5+Z5)</f>
        <v/>
      </c>
      <c r="AB5" s="26">
        <f>IF(OR(Y5="",Y5=0),"",_xlfn.MINIFS($C$2:$C$13,$A$2:$A$13,$A5)+(_xlfn.MAXIFS($D$2:$D$13,$A$2:$A$13,$A5)-_xlfn.MINIFS($C$2:$C$13,$A$2:$A$13,$A5)+1)/Y5)</f>
        <v/>
      </c>
    </row>
    <row r="6">
      <c r="A6" s="34" t="inlineStr">
        <is>
          <t>R2</t>
        </is>
      </c>
      <c r="B6" s="35" t="n">
        <v>5</v>
      </c>
      <c r="C6" s="25" t="n">
        <v>46300</v>
      </c>
      <c r="D6" s="25" t="n">
        <v>46306</v>
      </c>
      <c r="E6" s="20">
        <f>(D6-C6+1)/7</f>
        <v/>
      </c>
      <c r="F6" s="18" t="n"/>
      <c r="G6" s="19" t="n"/>
      <c r="H6" s="19" t="n"/>
      <c r="I6" s="19" t="n"/>
      <c r="J6" s="20">
        <f>IF($G6="","",SUMIFS('Sumário EVM'!$G$2:$G$4,'Sumário EVM'!$A$2:$A$4,$A6)+SUMIFS($I$2:$I$13,$A$2:$A$13,$A6,$B$2:$B$13,"&lt;="&amp;$B6))</f>
        <v/>
      </c>
      <c r="K6" s="20">
        <f>IF($G6="","",SUMIFS($H$2:$H$13,$A$2:$A$13,$A6,$B$2:$B$13,"&lt;="&amp;$B6))</f>
        <v/>
      </c>
      <c r="L6" s="32">
        <f>IF(OR($G6="",J6=0),"",K6/J6)</f>
        <v/>
      </c>
      <c r="M6" s="32">
        <f>SUMIFS($E$2:$E$13,$A$2:$A$13,$A6,$B$2:$B$13,"&lt;="&amp;$B6)/SUMIFS($E$2:$E$13,$A$2:$A$13,$A6)</f>
        <v/>
      </c>
      <c r="N6" s="14">
        <f>SUMIFS('Sumário EVM'!$J$2:$J$4,'Sumário EVM'!$A$2:$A$4,$A6)</f>
        <v/>
      </c>
      <c r="O6" s="14">
        <f>SUMPRODUCT((Planejamento!$B$1:$O$1&gt;=C6)*(Planejamento!$B$1:$O$1&lt;=D6)*Planejamento!$B$33:$O$33)</f>
        <v/>
      </c>
      <c r="P6" s="14">
        <f>M6*N6</f>
        <v/>
      </c>
      <c r="Q6" s="33">
        <f>SUMIFS(Horas!$C$2:$C$1000,Horas!$A$2:$A$1000,B6)</f>
        <v/>
      </c>
      <c r="R6" s="14">
        <f>IF(Q6&gt;0,Q6*Custos!$D$25,O6)</f>
        <v/>
      </c>
      <c r="S6" s="14">
        <f>IF($G6="","",SUMIFS($R$2:$R$13,$A$2:$A$13,$A6,$B$2:$B$13,"&lt;="&amp;$B6))</f>
        <v/>
      </c>
      <c r="T6" s="23">
        <f>IF($G6="","",IF(Q6&gt;0,"horas reais","estimado (custo planejado)"))</f>
        <v/>
      </c>
      <c r="U6" s="14">
        <f>IF(L6="","",L6*N6)</f>
        <v/>
      </c>
      <c r="V6" s="14">
        <f>IF(U6="","",U6-S6)</f>
        <v/>
      </c>
      <c r="W6" s="14">
        <f>IF(U6="","",U6-P6)</f>
        <v/>
      </c>
      <c r="X6" s="27">
        <f>IF(OR(U6="",S6=0),"",U6/S6)</f>
        <v/>
      </c>
      <c r="Y6" s="27">
        <f>IF(OR(U6="",P6=0),"",U6/P6)</f>
        <v/>
      </c>
      <c r="Z6" s="14">
        <f>IF(OR(X6="",X6=0),"",(N6-U6)/X6)</f>
        <v/>
      </c>
      <c r="AA6" s="14">
        <f>IF(Z6="","",S6+Z6)</f>
        <v/>
      </c>
      <c r="AB6" s="26">
        <f>IF(OR(Y6="",Y6=0),"",_xlfn.MINIFS($C$2:$C$13,$A$2:$A$13,$A6)+(_xlfn.MAXIFS($D$2:$D$13,$A$2:$A$13,$A6)-_xlfn.MINIFS($C$2:$C$13,$A$2:$A$13,$A6)+1)/Y6)</f>
        <v/>
      </c>
    </row>
    <row r="7">
      <c r="A7" s="34" t="inlineStr">
        <is>
          <t>R2</t>
        </is>
      </c>
      <c r="B7" s="35" t="n">
        <v>6</v>
      </c>
      <c r="C7" s="25" t="n">
        <v>46307</v>
      </c>
      <c r="D7" s="25" t="n">
        <v>46313</v>
      </c>
      <c r="E7" s="20">
        <f>(D7-C7+1)/7</f>
        <v/>
      </c>
      <c r="F7" s="18" t="n"/>
      <c r="G7" s="19" t="n"/>
      <c r="H7" s="19" t="n"/>
      <c r="I7" s="19" t="n"/>
      <c r="J7" s="20">
        <f>IF($G7="","",SUMIFS('Sumário EVM'!$G$2:$G$4,'Sumário EVM'!$A$2:$A$4,$A7)+SUMIFS($I$2:$I$13,$A$2:$A$13,$A7,$B$2:$B$13,"&lt;="&amp;$B7))</f>
        <v/>
      </c>
      <c r="K7" s="20">
        <f>IF($G7="","",SUMIFS($H$2:$H$13,$A$2:$A$13,$A7,$B$2:$B$13,"&lt;="&amp;$B7))</f>
        <v/>
      </c>
      <c r="L7" s="32">
        <f>IF(OR($G7="",J7=0),"",K7/J7)</f>
        <v/>
      </c>
      <c r="M7" s="32">
        <f>SUMIFS($E$2:$E$13,$A$2:$A$13,$A7,$B$2:$B$13,"&lt;="&amp;$B7)/SUMIFS($E$2:$E$13,$A$2:$A$13,$A7)</f>
        <v/>
      </c>
      <c r="N7" s="14">
        <f>SUMIFS('Sumário EVM'!$J$2:$J$4,'Sumário EVM'!$A$2:$A$4,$A7)</f>
        <v/>
      </c>
      <c r="O7" s="14">
        <f>SUMPRODUCT((Planejamento!$B$1:$O$1&gt;=C7)*(Planejamento!$B$1:$O$1&lt;=D7)*Planejamento!$B$33:$O$33)</f>
        <v/>
      </c>
      <c r="P7" s="14">
        <f>M7*N7</f>
        <v/>
      </c>
      <c r="Q7" s="33">
        <f>SUMIFS(Horas!$C$2:$C$1000,Horas!$A$2:$A$1000,B7)</f>
        <v/>
      </c>
      <c r="R7" s="14">
        <f>IF(Q7&gt;0,Q7*Custos!$D$25,O7)</f>
        <v/>
      </c>
      <c r="S7" s="14">
        <f>IF($G7="","",SUMIFS($R$2:$R$13,$A$2:$A$13,$A7,$B$2:$B$13,"&lt;="&amp;$B7))</f>
        <v/>
      </c>
      <c r="T7" s="23">
        <f>IF($G7="","",IF(Q7&gt;0,"horas reais","estimado (custo planejado)"))</f>
        <v/>
      </c>
      <c r="U7" s="14">
        <f>IF(L7="","",L7*N7)</f>
        <v/>
      </c>
      <c r="V7" s="14">
        <f>IF(U7="","",U7-S7)</f>
        <v/>
      </c>
      <c r="W7" s="14">
        <f>IF(U7="","",U7-P7)</f>
        <v/>
      </c>
      <c r="X7" s="27">
        <f>IF(OR(U7="",S7=0),"",U7/S7)</f>
        <v/>
      </c>
      <c r="Y7" s="27">
        <f>IF(OR(U7="",P7=0),"",U7/P7)</f>
        <v/>
      </c>
      <c r="Z7" s="14">
        <f>IF(OR(X7="",X7=0),"",(N7-U7)/X7)</f>
        <v/>
      </c>
      <c r="AA7" s="14">
        <f>IF(Z7="","",S7+Z7)</f>
        <v/>
      </c>
      <c r="AB7" s="26">
        <f>IF(OR(Y7="",Y7=0),"",_xlfn.MINIFS($C$2:$C$13,$A$2:$A$13,$A7)+(_xlfn.MAXIFS($D$2:$D$13,$A$2:$A$13,$A7)-_xlfn.MINIFS($C$2:$C$13,$A$2:$A$13,$A7)+1)/Y7)</f>
        <v/>
      </c>
    </row>
    <row r="8">
      <c r="A8" s="34" t="inlineStr">
        <is>
          <t>R2</t>
        </is>
      </c>
      <c r="B8" s="35" t="n">
        <v>7</v>
      </c>
      <c r="C8" s="25" t="n">
        <v>46314</v>
      </c>
      <c r="D8" s="25" t="n">
        <v>46320</v>
      </c>
      <c r="E8" s="20">
        <f>(D8-C8+1)/7</f>
        <v/>
      </c>
      <c r="F8" s="18" t="n"/>
      <c r="G8" s="19" t="n"/>
      <c r="H8" s="19" t="n"/>
      <c r="I8" s="19" t="n"/>
      <c r="J8" s="20">
        <f>IF($G8="","",SUMIFS('Sumário EVM'!$G$2:$G$4,'Sumário EVM'!$A$2:$A$4,$A8)+SUMIFS($I$2:$I$13,$A$2:$A$13,$A8,$B$2:$B$13,"&lt;="&amp;$B8))</f>
        <v/>
      </c>
      <c r="K8" s="20">
        <f>IF($G8="","",SUMIFS($H$2:$H$13,$A$2:$A$13,$A8,$B$2:$B$13,"&lt;="&amp;$B8))</f>
        <v/>
      </c>
      <c r="L8" s="32">
        <f>IF(OR($G8="",J8=0),"",K8/J8)</f>
        <v/>
      </c>
      <c r="M8" s="32">
        <f>SUMIFS($E$2:$E$13,$A$2:$A$13,$A8,$B$2:$B$13,"&lt;="&amp;$B8)/SUMIFS($E$2:$E$13,$A$2:$A$13,$A8)</f>
        <v/>
      </c>
      <c r="N8" s="14">
        <f>SUMIFS('Sumário EVM'!$J$2:$J$4,'Sumário EVM'!$A$2:$A$4,$A8)</f>
        <v/>
      </c>
      <c r="O8" s="14">
        <f>SUMPRODUCT((Planejamento!$B$1:$O$1&gt;=C8)*(Planejamento!$B$1:$O$1&lt;=D8)*Planejamento!$B$33:$O$33)</f>
        <v/>
      </c>
      <c r="P8" s="14">
        <f>M8*N8</f>
        <v/>
      </c>
      <c r="Q8" s="33">
        <f>SUMIFS(Horas!$C$2:$C$1000,Horas!$A$2:$A$1000,B8)</f>
        <v/>
      </c>
      <c r="R8" s="14">
        <f>IF(Q8&gt;0,Q8*Custos!$D$25,O8)</f>
        <v/>
      </c>
      <c r="S8" s="14">
        <f>IF($G8="","",SUMIFS($R$2:$R$13,$A$2:$A$13,$A8,$B$2:$B$13,"&lt;="&amp;$B8))</f>
        <v/>
      </c>
      <c r="T8" s="23">
        <f>IF($G8="","",IF(Q8&gt;0,"horas reais","estimado (custo planejado)"))</f>
        <v/>
      </c>
      <c r="U8" s="14">
        <f>IF(L8="","",L8*N8)</f>
        <v/>
      </c>
      <c r="V8" s="14">
        <f>IF(U8="","",U8-S8)</f>
        <v/>
      </c>
      <c r="W8" s="14">
        <f>IF(U8="","",U8-P8)</f>
        <v/>
      </c>
      <c r="X8" s="27">
        <f>IF(OR(U8="",S8=0),"",U8/S8)</f>
        <v/>
      </c>
      <c r="Y8" s="27">
        <f>IF(OR(U8="",P8=0),"",U8/P8)</f>
        <v/>
      </c>
      <c r="Z8" s="14">
        <f>IF(OR(X8="",X8=0),"",(N8-U8)/X8)</f>
        <v/>
      </c>
      <c r="AA8" s="14">
        <f>IF(Z8="","",S8+Z8)</f>
        <v/>
      </c>
      <c r="AB8" s="26">
        <f>IF(OR(Y8="",Y8=0),"",_xlfn.MINIFS($C$2:$C$13,$A$2:$A$13,$A8)+(_xlfn.MAXIFS($D$2:$D$13,$A$2:$A$13,$A8)-_xlfn.MINIFS($C$2:$C$13,$A$2:$A$13,$A8)+1)/Y8)</f>
        <v/>
      </c>
    </row>
    <row r="9">
      <c r="A9" s="36" t="inlineStr">
        <is>
          <t>R3</t>
        </is>
      </c>
      <c r="B9" s="37" t="n">
        <v>8</v>
      </c>
      <c r="C9" s="25" t="n">
        <v>46321</v>
      </c>
      <c r="D9" s="25" t="n">
        <v>46327</v>
      </c>
      <c r="E9" s="20">
        <f>(D9-C9+1)/7</f>
        <v/>
      </c>
      <c r="F9" s="18" t="n"/>
      <c r="G9" s="19" t="n"/>
      <c r="H9" s="19" t="n"/>
      <c r="I9" s="19" t="n"/>
      <c r="J9" s="20">
        <f>IF($G9="","",SUMIFS('Sumário EVM'!$G$2:$G$4,'Sumário EVM'!$A$2:$A$4,$A9)+SUMIFS($I$2:$I$13,$A$2:$A$13,$A9,$B$2:$B$13,"&lt;="&amp;$B9))</f>
        <v/>
      </c>
      <c r="K9" s="20">
        <f>IF($G9="","",SUMIFS($H$2:$H$13,$A$2:$A$13,$A9,$B$2:$B$13,"&lt;="&amp;$B9))</f>
        <v/>
      </c>
      <c r="L9" s="32">
        <f>IF(OR($G9="",J9=0),"",K9/J9)</f>
        <v/>
      </c>
      <c r="M9" s="32">
        <f>SUMIFS($E$2:$E$13,$A$2:$A$13,$A9,$B$2:$B$13,"&lt;="&amp;$B9)/SUMIFS($E$2:$E$13,$A$2:$A$13,$A9)</f>
        <v/>
      </c>
      <c r="N9" s="14">
        <f>SUMIFS('Sumário EVM'!$J$2:$J$4,'Sumário EVM'!$A$2:$A$4,$A9)</f>
        <v/>
      </c>
      <c r="O9" s="14">
        <f>SUMPRODUCT((Planejamento!$B$1:$O$1&gt;=C9)*(Planejamento!$B$1:$O$1&lt;=D9)*Planejamento!$B$33:$O$33)</f>
        <v/>
      </c>
      <c r="P9" s="14">
        <f>M9*N9</f>
        <v/>
      </c>
      <c r="Q9" s="33">
        <f>SUMIFS(Horas!$C$2:$C$1000,Horas!$A$2:$A$1000,B9)</f>
        <v/>
      </c>
      <c r="R9" s="14">
        <f>IF(Q9&gt;0,Q9*Custos!$D$25,O9)</f>
        <v/>
      </c>
      <c r="S9" s="14">
        <f>IF($G9="","",SUMIFS($R$2:$R$13,$A$2:$A$13,$A9,$B$2:$B$13,"&lt;="&amp;$B9))</f>
        <v/>
      </c>
      <c r="T9" s="23">
        <f>IF($G9="","",IF(Q9&gt;0,"horas reais","estimado (custo planejado)"))</f>
        <v/>
      </c>
      <c r="U9" s="14">
        <f>IF(L9="","",L9*N9)</f>
        <v/>
      </c>
      <c r="V9" s="14">
        <f>IF(U9="","",U9-S9)</f>
        <v/>
      </c>
      <c r="W9" s="14">
        <f>IF(U9="","",U9-P9)</f>
        <v/>
      </c>
      <c r="X9" s="27">
        <f>IF(OR(U9="",S9=0),"",U9/S9)</f>
        <v/>
      </c>
      <c r="Y9" s="27">
        <f>IF(OR(U9="",P9=0),"",U9/P9)</f>
        <v/>
      </c>
      <c r="Z9" s="14">
        <f>IF(OR(X9="",X9=0),"",(N9-U9)/X9)</f>
        <v/>
      </c>
      <c r="AA9" s="14">
        <f>IF(Z9="","",S9+Z9)</f>
        <v/>
      </c>
      <c r="AB9" s="26">
        <f>IF(OR(Y9="",Y9=0),"",_xlfn.MINIFS($C$2:$C$13,$A$2:$A$13,$A9)+(_xlfn.MAXIFS($D$2:$D$13,$A$2:$A$13,$A9)-_xlfn.MINIFS($C$2:$C$13,$A$2:$A$13,$A9)+1)/Y9)</f>
        <v/>
      </c>
    </row>
    <row r="10">
      <c r="A10" s="36" t="inlineStr">
        <is>
          <t>R3</t>
        </is>
      </c>
      <c r="B10" s="37" t="n">
        <v>9</v>
      </c>
      <c r="C10" s="25" t="n">
        <v>46328</v>
      </c>
      <c r="D10" s="25" t="n">
        <v>46334</v>
      </c>
      <c r="E10" s="20">
        <f>(D10-C10+1)/7</f>
        <v/>
      </c>
      <c r="F10" s="18" t="n"/>
      <c r="G10" s="19" t="n"/>
      <c r="H10" s="19" t="n"/>
      <c r="I10" s="19" t="n"/>
      <c r="J10" s="20">
        <f>IF($G10="","",SUMIFS('Sumário EVM'!$G$2:$G$4,'Sumário EVM'!$A$2:$A$4,$A10)+SUMIFS($I$2:$I$13,$A$2:$A$13,$A10,$B$2:$B$13,"&lt;="&amp;$B10))</f>
        <v/>
      </c>
      <c r="K10" s="20">
        <f>IF($G10="","",SUMIFS($H$2:$H$13,$A$2:$A$13,$A10,$B$2:$B$13,"&lt;="&amp;$B10))</f>
        <v/>
      </c>
      <c r="L10" s="32">
        <f>IF(OR($G10="",J10=0),"",K10/J10)</f>
        <v/>
      </c>
      <c r="M10" s="32">
        <f>SUMIFS($E$2:$E$13,$A$2:$A$13,$A10,$B$2:$B$13,"&lt;="&amp;$B10)/SUMIFS($E$2:$E$13,$A$2:$A$13,$A10)</f>
        <v/>
      </c>
      <c r="N10" s="14">
        <f>SUMIFS('Sumário EVM'!$J$2:$J$4,'Sumário EVM'!$A$2:$A$4,$A10)</f>
        <v/>
      </c>
      <c r="O10" s="14">
        <f>SUMPRODUCT((Planejamento!$B$1:$O$1&gt;=C10)*(Planejamento!$B$1:$O$1&lt;=D10)*Planejamento!$B$33:$O$33)</f>
        <v/>
      </c>
      <c r="P10" s="14">
        <f>M10*N10</f>
        <v/>
      </c>
      <c r="Q10" s="33">
        <f>SUMIFS(Horas!$C$2:$C$1000,Horas!$A$2:$A$1000,B10)</f>
        <v/>
      </c>
      <c r="R10" s="14">
        <f>IF(Q10&gt;0,Q10*Custos!$D$25,O10)</f>
        <v/>
      </c>
      <c r="S10" s="14">
        <f>IF($G10="","",SUMIFS($R$2:$R$13,$A$2:$A$13,$A10,$B$2:$B$13,"&lt;="&amp;$B10))</f>
        <v/>
      </c>
      <c r="T10" s="23">
        <f>IF($G10="","",IF(Q10&gt;0,"horas reais","estimado (custo planejado)"))</f>
        <v/>
      </c>
      <c r="U10" s="14">
        <f>IF(L10="","",L10*N10)</f>
        <v/>
      </c>
      <c r="V10" s="14">
        <f>IF(U10="","",U10-S10)</f>
        <v/>
      </c>
      <c r="W10" s="14">
        <f>IF(U10="","",U10-P10)</f>
        <v/>
      </c>
      <c r="X10" s="27">
        <f>IF(OR(U10="",S10=0),"",U10/S10)</f>
        <v/>
      </c>
      <c r="Y10" s="27">
        <f>IF(OR(U10="",P10=0),"",U10/P10)</f>
        <v/>
      </c>
      <c r="Z10" s="14">
        <f>IF(OR(X10="",X10=0),"",(N10-U10)/X10)</f>
        <v/>
      </c>
      <c r="AA10" s="14">
        <f>IF(Z10="","",S10+Z10)</f>
        <v/>
      </c>
      <c r="AB10" s="26">
        <f>IF(OR(Y10="",Y10=0),"",_xlfn.MINIFS($C$2:$C$13,$A$2:$A$13,$A10)+(_xlfn.MAXIFS($D$2:$D$13,$A$2:$A$13,$A10)-_xlfn.MINIFS($C$2:$C$13,$A$2:$A$13,$A10)+1)/Y10)</f>
        <v/>
      </c>
    </row>
    <row r="11">
      <c r="A11" s="36" t="inlineStr">
        <is>
          <t>R3</t>
        </is>
      </c>
      <c r="B11" s="37" t="n">
        <v>10</v>
      </c>
      <c r="C11" s="25" t="n">
        <v>46335</v>
      </c>
      <c r="D11" s="25" t="n">
        <v>46341</v>
      </c>
      <c r="E11" s="20">
        <f>(D11-C11+1)/7</f>
        <v/>
      </c>
      <c r="F11" s="18" t="n"/>
      <c r="G11" s="19" t="n"/>
      <c r="H11" s="19" t="n"/>
      <c r="I11" s="19" t="n"/>
      <c r="J11" s="20">
        <f>IF($G11="","",SUMIFS('Sumário EVM'!$G$2:$G$4,'Sumário EVM'!$A$2:$A$4,$A11)+SUMIFS($I$2:$I$13,$A$2:$A$13,$A11,$B$2:$B$13,"&lt;="&amp;$B11))</f>
        <v/>
      </c>
      <c r="K11" s="20">
        <f>IF($G11="","",SUMIFS($H$2:$H$13,$A$2:$A$13,$A11,$B$2:$B$13,"&lt;="&amp;$B11))</f>
        <v/>
      </c>
      <c r="L11" s="32">
        <f>IF(OR($G11="",J11=0),"",K11/J11)</f>
        <v/>
      </c>
      <c r="M11" s="32">
        <f>SUMIFS($E$2:$E$13,$A$2:$A$13,$A11,$B$2:$B$13,"&lt;="&amp;$B11)/SUMIFS($E$2:$E$13,$A$2:$A$13,$A11)</f>
        <v/>
      </c>
      <c r="N11" s="14">
        <f>SUMIFS('Sumário EVM'!$J$2:$J$4,'Sumário EVM'!$A$2:$A$4,$A11)</f>
        <v/>
      </c>
      <c r="O11" s="14">
        <f>SUMPRODUCT((Planejamento!$B$1:$O$1&gt;=C11)*(Planejamento!$B$1:$O$1&lt;=D11)*Planejamento!$B$33:$O$33)</f>
        <v/>
      </c>
      <c r="P11" s="14">
        <f>M11*N11</f>
        <v/>
      </c>
      <c r="Q11" s="33">
        <f>SUMIFS(Horas!$C$2:$C$1000,Horas!$A$2:$A$1000,B11)</f>
        <v/>
      </c>
      <c r="R11" s="14">
        <f>IF(Q11&gt;0,Q11*Custos!$D$25,O11)</f>
        <v/>
      </c>
      <c r="S11" s="14">
        <f>IF($G11="","",SUMIFS($R$2:$R$13,$A$2:$A$13,$A11,$B$2:$B$13,"&lt;="&amp;$B11))</f>
        <v/>
      </c>
      <c r="T11" s="23">
        <f>IF($G11="","",IF(Q11&gt;0,"horas reais","estimado (custo planejado)"))</f>
        <v/>
      </c>
      <c r="U11" s="14">
        <f>IF(L11="","",L11*N11)</f>
        <v/>
      </c>
      <c r="V11" s="14">
        <f>IF(U11="","",U11-S11)</f>
        <v/>
      </c>
      <c r="W11" s="14">
        <f>IF(U11="","",U11-P11)</f>
        <v/>
      </c>
      <c r="X11" s="27">
        <f>IF(OR(U11="",S11=0),"",U11/S11)</f>
        <v/>
      </c>
      <c r="Y11" s="27">
        <f>IF(OR(U11="",P11=0),"",U11/P11)</f>
        <v/>
      </c>
      <c r="Z11" s="14">
        <f>IF(OR(X11="",X11=0),"",(N11-U11)/X11)</f>
        <v/>
      </c>
      <c r="AA11" s="14">
        <f>IF(Z11="","",S11+Z11)</f>
        <v/>
      </c>
      <c r="AB11" s="26">
        <f>IF(OR(Y11="",Y11=0),"",_xlfn.MINIFS($C$2:$C$13,$A$2:$A$13,$A11)+(_xlfn.MAXIFS($D$2:$D$13,$A$2:$A$13,$A11)-_xlfn.MINIFS($C$2:$C$13,$A$2:$A$13,$A11)+1)/Y11)</f>
        <v/>
      </c>
    </row>
    <row r="12">
      <c r="A12" s="36" t="inlineStr">
        <is>
          <t>R3</t>
        </is>
      </c>
      <c r="B12" s="37" t="n">
        <v>11</v>
      </c>
      <c r="C12" s="25" t="n">
        <v>46342</v>
      </c>
      <c r="D12" s="25" t="n">
        <v>46348</v>
      </c>
      <c r="E12" s="20">
        <f>(D12-C12+1)/7</f>
        <v/>
      </c>
      <c r="F12" s="18" t="n"/>
      <c r="G12" s="19" t="n"/>
      <c r="H12" s="19" t="n"/>
      <c r="I12" s="19" t="n"/>
      <c r="J12" s="20">
        <f>IF($G12="","",SUMIFS('Sumário EVM'!$G$2:$G$4,'Sumário EVM'!$A$2:$A$4,$A12)+SUMIFS($I$2:$I$13,$A$2:$A$13,$A12,$B$2:$B$13,"&lt;="&amp;$B12))</f>
        <v/>
      </c>
      <c r="K12" s="20">
        <f>IF($G12="","",SUMIFS($H$2:$H$13,$A$2:$A$13,$A12,$B$2:$B$13,"&lt;="&amp;$B12))</f>
        <v/>
      </c>
      <c r="L12" s="32">
        <f>IF(OR($G12="",J12=0),"",K12/J12)</f>
        <v/>
      </c>
      <c r="M12" s="32">
        <f>SUMIFS($E$2:$E$13,$A$2:$A$13,$A12,$B$2:$B$13,"&lt;="&amp;$B12)/SUMIFS($E$2:$E$13,$A$2:$A$13,$A12)</f>
        <v/>
      </c>
      <c r="N12" s="14">
        <f>SUMIFS('Sumário EVM'!$J$2:$J$4,'Sumário EVM'!$A$2:$A$4,$A12)</f>
        <v/>
      </c>
      <c r="O12" s="14">
        <f>SUMPRODUCT((Planejamento!$B$1:$O$1&gt;=C12)*(Planejamento!$B$1:$O$1&lt;=D12)*Planejamento!$B$33:$O$33)</f>
        <v/>
      </c>
      <c r="P12" s="14">
        <f>M12*N12</f>
        <v/>
      </c>
      <c r="Q12" s="33">
        <f>SUMIFS(Horas!$C$2:$C$1000,Horas!$A$2:$A$1000,B12)</f>
        <v/>
      </c>
      <c r="R12" s="14">
        <f>IF(Q12&gt;0,Q12*Custos!$D$25,O12)</f>
        <v/>
      </c>
      <c r="S12" s="14">
        <f>IF($G12="","",SUMIFS($R$2:$R$13,$A$2:$A$13,$A12,$B$2:$B$13,"&lt;="&amp;$B12))</f>
        <v/>
      </c>
      <c r="T12" s="23">
        <f>IF($G12="","",IF(Q12&gt;0,"horas reais","estimado (custo planejado)"))</f>
        <v/>
      </c>
      <c r="U12" s="14">
        <f>IF(L12="","",L12*N12)</f>
        <v/>
      </c>
      <c r="V12" s="14">
        <f>IF(U12="","",U12-S12)</f>
        <v/>
      </c>
      <c r="W12" s="14">
        <f>IF(U12="","",U12-P12)</f>
        <v/>
      </c>
      <c r="X12" s="27">
        <f>IF(OR(U12="",S12=0),"",U12/S12)</f>
        <v/>
      </c>
      <c r="Y12" s="27">
        <f>IF(OR(U12="",P12=0),"",U12/P12)</f>
        <v/>
      </c>
      <c r="Z12" s="14">
        <f>IF(OR(X12="",X12=0),"",(N12-U12)/X12)</f>
        <v/>
      </c>
      <c r="AA12" s="14">
        <f>IF(Z12="","",S12+Z12)</f>
        <v/>
      </c>
      <c r="AB12" s="26">
        <f>IF(OR(Y12="",Y12=0),"",_xlfn.MINIFS($C$2:$C$13,$A$2:$A$13,$A12)+(_xlfn.MAXIFS($D$2:$D$13,$A$2:$A$13,$A12)-_xlfn.MINIFS($C$2:$C$13,$A$2:$A$13,$A12)+1)/Y12)</f>
        <v/>
      </c>
    </row>
    <row r="13">
      <c r="A13" s="36" t="inlineStr">
        <is>
          <t>R3</t>
        </is>
      </c>
      <c r="B13" s="37" t="n">
        <v>12</v>
      </c>
      <c r="C13" s="25" t="n">
        <v>46349</v>
      </c>
      <c r="D13" s="25" t="n">
        <v>46355</v>
      </c>
      <c r="E13" s="20">
        <f>(D13-C13+1)/7</f>
        <v/>
      </c>
      <c r="F13" s="18" t="n"/>
      <c r="G13" s="19" t="n"/>
      <c r="H13" s="19" t="n"/>
      <c r="I13" s="19" t="n"/>
      <c r="J13" s="20">
        <f>IF($G13="","",SUMIFS('Sumário EVM'!$G$2:$G$4,'Sumário EVM'!$A$2:$A$4,$A13)+SUMIFS($I$2:$I$13,$A$2:$A$13,$A13,$B$2:$B$13,"&lt;="&amp;$B13))</f>
        <v/>
      </c>
      <c r="K13" s="20">
        <f>IF($G13="","",SUMIFS($H$2:$H$13,$A$2:$A$13,$A13,$B$2:$B$13,"&lt;="&amp;$B13))</f>
        <v/>
      </c>
      <c r="L13" s="32">
        <f>IF(OR($G13="",J13=0),"",K13/J13)</f>
        <v/>
      </c>
      <c r="M13" s="32">
        <f>SUMIFS($E$2:$E$13,$A$2:$A$13,$A13,$B$2:$B$13,"&lt;="&amp;$B13)/SUMIFS($E$2:$E$13,$A$2:$A$13,$A13)</f>
        <v/>
      </c>
      <c r="N13" s="14">
        <f>SUMIFS('Sumário EVM'!$J$2:$J$4,'Sumário EVM'!$A$2:$A$4,$A13)</f>
        <v/>
      </c>
      <c r="O13" s="14">
        <f>SUMPRODUCT((Planejamento!$B$1:$O$1&gt;=C13)*(Planejamento!$B$1:$O$1&lt;=D13)*Planejamento!$B$33:$O$33)</f>
        <v/>
      </c>
      <c r="P13" s="14">
        <f>M13*N13</f>
        <v/>
      </c>
      <c r="Q13" s="33">
        <f>SUMIFS(Horas!$C$2:$C$1000,Horas!$A$2:$A$1000,B13)</f>
        <v/>
      </c>
      <c r="R13" s="14">
        <f>IF(Q13&gt;0,Q13*Custos!$D$25,O13)</f>
        <v/>
      </c>
      <c r="S13" s="14">
        <f>IF($G13="","",SUMIFS($R$2:$R$13,$A$2:$A$13,$A13,$B$2:$B$13,"&lt;="&amp;$B13))</f>
        <v/>
      </c>
      <c r="T13" s="23">
        <f>IF($G13="","",IF(Q13&gt;0,"horas reais","estimado (custo planejado)"))</f>
        <v/>
      </c>
      <c r="U13" s="14">
        <f>IF(L13="","",L13*N13)</f>
        <v/>
      </c>
      <c r="V13" s="14">
        <f>IF(U13="","",U13-S13)</f>
        <v/>
      </c>
      <c r="W13" s="14">
        <f>IF(U13="","",U13-P13)</f>
        <v/>
      </c>
      <c r="X13" s="27">
        <f>IF(OR(U13="",S13=0),"",U13/S13)</f>
        <v/>
      </c>
      <c r="Y13" s="27">
        <f>IF(OR(U13="",P13=0),"",U13/P13)</f>
        <v/>
      </c>
      <c r="Z13" s="14">
        <f>IF(OR(X13="",X13=0),"",(N13-U13)/X13)</f>
        <v/>
      </c>
      <c r="AA13" s="14">
        <f>IF(Z13="","",S13+Z13)</f>
        <v/>
      </c>
      <c r="AB13" s="26">
        <f>IF(OR(Y13="",Y13=0),"",_xlfn.MINIFS($C$2:$C$13,$A$2:$A$13,$A13)+(_xlfn.MAXIFS($D$2:$D$13,$A$2:$A$13,$A13)-_xlfn.MINIFS($C$2:$C$13,$A$2:$A$13,$A13)+1)/Y13)</f>
        <v/>
      </c>
    </row>
    <row r="15">
      <c r="A15" s="38" t="inlineStr">
        <is>
          <t>Amarelo: preencher ao fim de cada sprint com os números do Zenhub (o dashboard mostra os valores prontos na aba Velocity e Burndown → Conferência com o Zenhub). Azul-claro: calculado.</t>
        </is>
      </c>
    </row>
  </sheetData>
  <conditionalFormatting sqref="X2:X13">
    <cfRule type="expression" priority="1" dxfId="0">
      <formula>AND(X2&lt;&gt;"",X2&lt;0.95)</formula>
    </cfRule>
    <cfRule type="expression" priority="2" dxfId="1">
      <formula>AND(X2&lt;&gt;"",X2&gt;=0.95)</formula>
    </cfRule>
  </conditionalFormatting>
  <conditionalFormatting sqref="Y2:Y13">
    <cfRule type="expression" priority="3" dxfId="0">
      <formula>AND(Y2&lt;&gt;"",Y2&lt;0.95)</formula>
    </cfRule>
    <cfRule type="expression" priority="4" dxfId="1">
      <formula>AND(Y2&lt;&gt;"",Y2&gt;=0.95)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F3A5F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11" customWidth="1" min="9" max="9"/>
  </cols>
  <sheetData>
    <row r="1" ht="42" customHeight="1">
      <c r="A1" s="9" t="inlineStr">
        <is>
          <t>Sprint</t>
        </is>
      </c>
      <c r="B1" s="9" t="inlineStr">
        <is>
          <t>Release</t>
        </is>
      </c>
      <c r="C1" s="9" t="inlineStr">
        <is>
          <t>Semanas</t>
        </is>
      </c>
      <c r="D1" s="9" t="inlineStr">
        <is>
          <t>Pontos planejados (PP)</t>
        </is>
      </c>
      <c r="E1" s="9" t="inlineStr">
        <is>
          <t>Pontos concluídos (PC)</t>
        </is>
      </c>
      <c r="F1" s="9" t="inlineStr">
        <is>
          <t>Velocity</t>
        </is>
      </c>
      <c r="G1" s="9" t="inlineStr">
        <is>
          <t>Pontos por semana</t>
        </is>
      </c>
      <c r="H1" s="9" t="inlineStr">
        <is>
          <t>Velocity média</t>
        </is>
      </c>
      <c r="I1" s="9" t="inlineStr">
        <is>
          <t>Taxa de conclusão</t>
        </is>
      </c>
    </row>
    <row r="2">
      <c r="A2" s="20">
        <f>'EVM - Valor Agregado'!B2</f>
        <v/>
      </c>
      <c r="B2" s="23">
        <f>'EVM - Valor Agregado'!A2</f>
        <v/>
      </c>
      <c r="C2" s="20">
        <f>'EVM - Valor Agregado'!E2</f>
        <v/>
      </c>
      <c r="D2" s="20">
        <f>IF('EVM - Valor Agregado'!G2="","",'EVM - Valor Agregado'!G2)</f>
        <v/>
      </c>
      <c r="E2" s="20">
        <f>IF('EVM - Valor Agregado'!G2="","",'EVM - Valor Agregado'!H2)</f>
        <v/>
      </c>
      <c r="F2" s="20">
        <f>E2</f>
        <v/>
      </c>
      <c r="G2" s="33">
        <f>IF(E2="","",E2/C2)</f>
        <v/>
      </c>
      <c r="H2" s="33">
        <f>IF(G2="","",AVERAGE($G$2:G2))</f>
        <v/>
      </c>
      <c r="I2" s="32">
        <f>IF(OR(D2="",D2=0),"",E2/D2)</f>
        <v/>
      </c>
    </row>
    <row r="3">
      <c r="A3" s="20">
        <f>'EVM - Valor Agregado'!B3</f>
        <v/>
      </c>
      <c r="B3" s="23">
        <f>'EVM - Valor Agregado'!A3</f>
        <v/>
      </c>
      <c r="C3" s="20">
        <f>'EVM - Valor Agregado'!E3</f>
        <v/>
      </c>
      <c r="D3" s="20">
        <f>IF('EVM - Valor Agregado'!G3="","",'EVM - Valor Agregado'!G3)</f>
        <v/>
      </c>
      <c r="E3" s="20">
        <f>IF('EVM - Valor Agregado'!G3="","",'EVM - Valor Agregado'!H3)</f>
        <v/>
      </c>
      <c r="F3" s="20">
        <f>E3</f>
        <v/>
      </c>
      <c r="G3" s="33">
        <f>IF(E3="","",E3/C3)</f>
        <v/>
      </c>
      <c r="H3" s="33">
        <f>IF(G3="","",AVERAGE($G$2:G3))</f>
        <v/>
      </c>
      <c r="I3" s="32">
        <f>IF(OR(D3="",D3=0),"",E3/D3)</f>
        <v/>
      </c>
    </row>
    <row r="4">
      <c r="A4" s="20">
        <f>'EVM - Valor Agregado'!B4</f>
        <v/>
      </c>
      <c r="B4" s="23">
        <f>'EVM - Valor Agregado'!A4</f>
        <v/>
      </c>
      <c r="C4" s="20">
        <f>'EVM - Valor Agregado'!E4</f>
        <v/>
      </c>
      <c r="D4" s="20">
        <f>IF('EVM - Valor Agregado'!G4="","",'EVM - Valor Agregado'!G4)</f>
        <v/>
      </c>
      <c r="E4" s="20">
        <f>IF('EVM - Valor Agregado'!G4="","",'EVM - Valor Agregado'!H4)</f>
        <v/>
      </c>
      <c r="F4" s="20">
        <f>E4</f>
        <v/>
      </c>
      <c r="G4" s="33">
        <f>IF(E4="","",E4/C4)</f>
        <v/>
      </c>
      <c r="H4" s="33">
        <f>IF(G4="","",AVERAGE($G$2:G4))</f>
        <v/>
      </c>
      <c r="I4" s="32">
        <f>IF(OR(D4="",D4=0),"",E4/D4)</f>
        <v/>
      </c>
    </row>
    <row r="5">
      <c r="A5" s="20">
        <f>'EVM - Valor Agregado'!B5</f>
        <v/>
      </c>
      <c r="B5" s="23">
        <f>'EVM - Valor Agregado'!A5</f>
        <v/>
      </c>
      <c r="C5" s="20">
        <f>'EVM - Valor Agregado'!E5</f>
        <v/>
      </c>
      <c r="D5" s="20">
        <f>IF('EVM - Valor Agregado'!G5="","",'EVM - Valor Agregado'!G5)</f>
        <v/>
      </c>
      <c r="E5" s="20">
        <f>IF('EVM - Valor Agregado'!G5="","",'EVM - Valor Agregado'!H5)</f>
        <v/>
      </c>
      <c r="F5" s="20">
        <f>E5</f>
        <v/>
      </c>
      <c r="G5" s="33">
        <f>IF(E5="","",E5/C5)</f>
        <v/>
      </c>
      <c r="H5" s="33">
        <f>IF(G5="","",AVERAGE($G$2:G5))</f>
        <v/>
      </c>
      <c r="I5" s="32">
        <f>IF(OR(D5="",D5=0),"",E5/D5)</f>
        <v/>
      </c>
    </row>
    <row r="6">
      <c r="A6" s="20">
        <f>'EVM - Valor Agregado'!B6</f>
        <v/>
      </c>
      <c r="B6" s="23">
        <f>'EVM - Valor Agregado'!A6</f>
        <v/>
      </c>
      <c r="C6" s="20">
        <f>'EVM - Valor Agregado'!E6</f>
        <v/>
      </c>
      <c r="D6" s="20">
        <f>IF('EVM - Valor Agregado'!G6="","",'EVM - Valor Agregado'!G6)</f>
        <v/>
      </c>
      <c r="E6" s="20">
        <f>IF('EVM - Valor Agregado'!G6="","",'EVM - Valor Agregado'!H6)</f>
        <v/>
      </c>
      <c r="F6" s="20">
        <f>E6</f>
        <v/>
      </c>
      <c r="G6" s="33">
        <f>IF(E6="","",E6/C6)</f>
        <v/>
      </c>
      <c r="H6" s="33">
        <f>IF(G6="","",AVERAGE($G$2:G6))</f>
        <v/>
      </c>
      <c r="I6" s="32">
        <f>IF(OR(D6="",D6=0),"",E6/D6)</f>
        <v/>
      </c>
    </row>
    <row r="7">
      <c r="A7" s="20">
        <f>'EVM - Valor Agregado'!B7</f>
        <v/>
      </c>
      <c r="B7" s="23">
        <f>'EVM - Valor Agregado'!A7</f>
        <v/>
      </c>
      <c r="C7" s="20">
        <f>'EVM - Valor Agregado'!E7</f>
        <v/>
      </c>
      <c r="D7" s="20">
        <f>IF('EVM - Valor Agregado'!G7="","",'EVM - Valor Agregado'!G7)</f>
        <v/>
      </c>
      <c r="E7" s="20">
        <f>IF('EVM - Valor Agregado'!G7="","",'EVM - Valor Agregado'!H7)</f>
        <v/>
      </c>
      <c r="F7" s="20">
        <f>E7</f>
        <v/>
      </c>
      <c r="G7" s="33">
        <f>IF(E7="","",E7/C7)</f>
        <v/>
      </c>
      <c r="H7" s="33">
        <f>IF(G7="","",AVERAGE($G$2:G7))</f>
        <v/>
      </c>
      <c r="I7" s="32">
        <f>IF(OR(D7="",D7=0),"",E7/D7)</f>
        <v/>
      </c>
    </row>
    <row r="8">
      <c r="A8" s="20">
        <f>'EVM - Valor Agregado'!B8</f>
        <v/>
      </c>
      <c r="B8" s="23">
        <f>'EVM - Valor Agregado'!A8</f>
        <v/>
      </c>
      <c r="C8" s="20">
        <f>'EVM - Valor Agregado'!E8</f>
        <v/>
      </c>
      <c r="D8" s="20">
        <f>IF('EVM - Valor Agregado'!G8="","",'EVM - Valor Agregado'!G8)</f>
        <v/>
      </c>
      <c r="E8" s="20">
        <f>IF('EVM - Valor Agregado'!G8="","",'EVM - Valor Agregado'!H8)</f>
        <v/>
      </c>
      <c r="F8" s="20">
        <f>E8</f>
        <v/>
      </c>
      <c r="G8" s="33">
        <f>IF(E8="","",E8/C8)</f>
        <v/>
      </c>
      <c r="H8" s="33">
        <f>IF(G8="","",AVERAGE($G$2:G8))</f>
        <v/>
      </c>
      <c r="I8" s="32">
        <f>IF(OR(D8="",D8=0),"",E8/D8)</f>
        <v/>
      </c>
    </row>
    <row r="9">
      <c r="A9" s="20">
        <f>'EVM - Valor Agregado'!B9</f>
        <v/>
      </c>
      <c r="B9" s="23">
        <f>'EVM - Valor Agregado'!A9</f>
        <v/>
      </c>
      <c r="C9" s="20">
        <f>'EVM - Valor Agregado'!E9</f>
        <v/>
      </c>
      <c r="D9" s="20">
        <f>IF('EVM - Valor Agregado'!G9="","",'EVM - Valor Agregado'!G9)</f>
        <v/>
      </c>
      <c r="E9" s="20">
        <f>IF('EVM - Valor Agregado'!G9="","",'EVM - Valor Agregado'!H9)</f>
        <v/>
      </c>
      <c r="F9" s="20">
        <f>E9</f>
        <v/>
      </c>
      <c r="G9" s="33">
        <f>IF(E9="","",E9/C9)</f>
        <v/>
      </c>
      <c r="H9" s="33">
        <f>IF(G9="","",AVERAGE($G$2:G9))</f>
        <v/>
      </c>
      <c r="I9" s="32">
        <f>IF(OR(D9="",D9=0),"",E9/D9)</f>
        <v/>
      </c>
    </row>
    <row r="10">
      <c r="A10" s="20">
        <f>'EVM - Valor Agregado'!B10</f>
        <v/>
      </c>
      <c r="B10" s="23">
        <f>'EVM - Valor Agregado'!A10</f>
        <v/>
      </c>
      <c r="C10" s="20">
        <f>'EVM - Valor Agregado'!E10</f>
        <v/>
      </c>
      <c r="D10" s="20">
        <f>IF('EVM - Valor Agregado'!G10="","",'EVM - Valor Agregado'!G10)</f>
        <v/>
      </c>
      <c r="E10" s="20">
        <f>IF('EVM - Valor Agregado'!G10="","",'EVM - Valor Agregado'!H10)</f>
        <v/>
      </c>
      <c r="F10" s="20">
        <f>E10</f>
        <v/>
      </c>
      <c r="G10" s="33">
        <f>IF(E10="","",E10/C10)</f>
        <v/>
      </c>
      <c r="H10" s="33">
        <f>IF(G10="","",AVERAGE($G$2:G10))</f>
        <v/>
      </c>
      <c r="I10" s="32">
        <f>IF(OR(D10="",D10=0),"",E10/D10)</f>
        <v/>
      </c>
    </row>
    <row r="11">
      <c r="A11" s="20">
        <f>'EVM - Valor Agregado'!B11</f>
        <v/>
      </c>
      <c r="B11" s="23">
        <f>'EVM - Valor Agregado'!A11</f>
        <v/>
      </c>
      <c r="C11" s="20">
        <f>'EVM - Valor Agregado'!E11</f>
        <v/>
      </c>
      <c r="D11" s="20">
        <f>IF('EVM - Valor Agregado'!G11="","",'EVM - Valor Agregado'!G11)</f>
        <v/>
      </c>
      <c r="E11" s="20">
        <f>IF('EVM - Valor Agregado'!G11="","",'EVM - Valor Agregado'!H11)</f>
        <v/>
      </c>
      <c r="F11" s="20">
        <f>E11</f>
        <v/>
      </c>
      <c r="G11" s="33">
        <f>IF(E11="","",E11/C11)</f>
        <v/>
      </c>
      <c r="H11" s="33">
        <f>IF(G11="","",AVERAGE($G$2:G11))</f>
        <v/>
      </c>
      <c r="I11" s="32">
        <f>IF(OR(D11="",D11=0),"",E11/D11)</f>
        <v/>
      </c>
    </row>
    <row r="12">
      <c r="A12" s="20">
        <f>'EVM - Valor Agregado'!B12</f>
        <v/>
      </c>
      <c r="B12" s="23">
        <f>'EVM - Valor Agregado'!A12</f>
        <v/>
      </c>
      <c r="C12" s="20">
        <f>'EVM - Valor Agregado'!E12</f>
        <v/>
      </c>
      <c r="D12" s="20">
        <f>IF('EVM - Valor Agregado'!G12="","",'EVM - Valor Agregado'!G12)</f>
        <v/>
      </c>
      <c r="E12" s="20">
        <f>IF('EVM - Valor Agregado'!G12="","",'EVM - Valor Agregado'!H12)</f>
        <v/>
      </c>
      <c r="F12" s="20">
        <f>E12</f>
        <v/>
      </c>
      <c r="G12" s="33">
        <f>IF(E12="","",E12/C12)</f>
        <v/>
      </c>
      <c r="H12" s="33">
        <f>IF(G12="","",AVERAGE($G$2:G12))</f>
        <v/>
      </c>
      <c r="I12" s="32">
        <f>IF(OR(D12="",D12=0),"",E12/D12)</f>
        <v/>
      </c>
    </row>
    <row r="13">
      <c r="A13" s="20">
        <f>'EVM - Valor Agregado'!B13</f>
        <v/>
      </c>
      <c r="B13" s="23">
        <f>'EVM - Valor Agregado'!A13</f>
        <v/>
      </c>
      <c r="C13" s="20">
        <f>'EVM - Valor Agregado'!E13</f>
        <v/>
      </c>
      <c r="D13" s="20">
        <f>IF('EVM - Valor Agregado'!G13="","",'EVM - Valor Agregado'!G13)</f>
        <v/>
      </c>
      <c r="E13" s="20">
        <f>IF('EVM - Valor Agregado'!G13="","",'EVM - Valor Agregado'!H13)</f>
        <v/>
      </c>
      <c r="F13" s="20">
        <f>E13</f>
        <v/>
      </c>
      <c r="G13" s="33">
        <f>IF(E13="","",E13/C13)</f>
        <v/>
      </c>
      <c r="H13" s="33">
        <f>IF(G13="","",AVERAGE($G$2:G13))</f>
        <v/>
      </c>
      <c r="I13" s="32">
        <f>IF(OR(D13="",D13=0),"",E13/D13)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11" customWidth="1" min="7" max="7"/>
    <col width="11" customWidth="1" min="8" max="8"/>
  </cols>
  <sheetData>
    <row r="1" ht="42" customHeight="1">
      <c r="A1" s="9" t="inlineStr">
        <is>
          <t>Sprint</t>
        </is>
      </c>
      <c r="B1" s="9" t="inlineStr">
        <is>
          <t>Release</t>
        </is>
      </c>
      <c r="C1" s="9" t="inlineStr">
        <is>
          <t>SPI</t>
        </is>
      </c>
      <c r="D1" s="9" t="inlineStr">
        <is>
          <t>CPI</t>
        </is>
      </c>
      <c r="E1" s="9" t="inlineStr">
        <is>
          <t>Referência (1,0)</t>
        </is>
      </c>
      <c r="F1" s="9" t="inlineStr">
        <is>
          <t>PRP</t>
        </is>
      </c>
      <c r="G1" s="9" t="inlineStr">
        <is>
          <t>Pontos restantes</t>
        </is>
      </c>
      <c r="H1" s="9" t="inlineStr">
        <is>
          <t>Restante ideal</t>
        </is>
      </c>
    </row>
    <row r="2">
      <c r="A2" s="20">
        <f>'EVM - Valor Agregado'!B2</f>
        <v/>
      </c>
      <c r="B2" s="23">
        <f>'EVM - Valor Agregado'!A2</f>
        <v/>
      </c>
      <c r="C2" s="27">
        <f>'EVM - Valor Agregado'!Y2</f>
        <v/>
      </c>
      <c r="D2" s="27">
        <f>'EVM - Valor Agregado'!X2</f>
        <v/>
      </c>
      <c r="E2" s="33" t="n">
        <v>1</v>
      </c>
      <c r="F2" s="20">
        <f>'EVM - Valor Agregado'!J2</f>
        <v/>
      </c>
      <c r="G2" s="20">
        <f>IF('EVM - Valor Agregado'!J2="","",'EVM - Valor Agregado'!J2-'EVM - Valor Agregado'!K2)</f>
        <v/>
      </c>
      <c r="H2" s="20">
        <f>IF('EVM - Valor Agregado'!J2="","",'EVM - Valor Agregado'!J2*(1-'EVM - Valor Agregado'!M2))</f>
        <v/>
      </c>
    </row>
    <row r="3">
      <c r="A3" s="20">
        <f>'EVM - Valor Agregado'!B3</f>
        <v/>
      </c>
      <c r="B3" s="23">
        <f>'EVM - Valor Agregado'!A3</f>
        <v/>
      </c>
      <c r="C3" s="27">
        <f>'EVM - Valor Agregado'!Y3</f>
        <v/>
      </c>
      <c r="D3" s="27">
        <f>'EVM - Valor Agregado'!X3</f>
        <v/>
      </c>
      <c r="E3" s="33" t="n">
        <v>1</v>
      </c>
      <c r="F3" s="20">
        <f>'EVM - Valor Agregado'!J3</f>
        <v/>
      </c>
      <c r="G3" s="20">
        <f>IF('EVM - Valor Agregado'!J3="","",'EVM - Valor Agregado'!J3-'EVM - Valor Agregado'!K3)</f>
        <v/>
      </c>
      <c r="H3" s="20">
        <f>IF('EVM - Valor Agregado'!J3="","",'EVM - Valor Agregado'!J3*(1-'EVM - Valor Agregado'!M3))</f>
        <v/>
      </c>
    </row>
    <row r="4">
      <c r="A4" s="20">
        <f>'EVM - Valor Agregado'!B4</f>
        <v/>
      </c>
      <c r="B4" s="23">
        <f>'EVM - Valor Agregado'!A4</f>
        <v/>
      </c>
      <c r="C4" s="27">
        <f>'EVM - Valor Agregado'!Y4</f>
        <v/>
      </c>
      <c r="D4" s="27">
        <f>'EVM - Valor Agregado'!X4</f>
        <v/>
      </c>
      <c r="E4" s="33" t="n">
        <v>1</v>
      </c>
      <c r="F4" s="20">
        <f>'EVM - Valor Agregado'!J4</f>
        <v/>
      </c>
      <c r="G4" s="20">
        <f>IF('EVM - Valor Agregado'!J4="","",'EVM - Valor Agregado'!J4-'EVM - Valor Agregado'!K4)</f>
        <v/>
      </c>
      <c r="H4" s="20">
        <f>IF('EVM - Valor Agregado'!J4="","",'EVM - Valor Agregado'!J4*(1-'EVM - Valor Agregado'!M4))</f>
        <v/>
      </c>
    </row>
    <row r="5">
      <c r="A5" s="20">
        <f>'EVM - Valor Agregado'!B5</f>
        <v/>
      </c>
      <c r="B5" s="23">
        <f>'EVM - Valor Agregado'!A5</f>
        <v/>
      </c>
      <c r="C5" s="27">
        <f>'EVM - Valor Agregado'!Y5</f>
        <v/>
      </c>
      <c r="D5" s="27">
        <f>'EVM - Valor Agregado'!X5</f>
        <v/>
      </c>
      <c r="E5" s="33" t="n">
        <v>1</v>
      </c>
      <c r="F5" s="20">
        <f>'EVM - Valor Agregado'!J5</f>
        <v/>
      </c>
      <c r="G5" s="20">
        <f>IF('EVM - Valor Agregado'!J5="","",'EVM - Valor Agregado'!J5-'EVM - Valor Agregado'!K5)</f>
        <v/>
      </c>
      <c r="H5" s="20">
        <f>IF('EVM - Valor Agregado'!J5="","",'EVM - Valor Agregado'!J5*(1-'EVM - Valor Agregado'!M5))</f>
        <v/>
      </c>
    </row>
    <row r="6">
      <c r="A6" s="20">
        <f>'EVM - Valor Agregado'!B6</f>
        <v/>
      </c>
      <c r="B6" s="23">
        <f>'EVM - Valor Agregado'!A6</f>
        <v/>
      </c>
      <c r="C6" s="27">
        <f>'EVM - Valor Agregado'!Y6</f>
        <v/>
      </c>
      <c r="D6" s="27">
        <f>'EVM - Valor Agregado'!X6</f>
        <v/>
      </c>
      <c r="E6" s="33" t="n">
        <v>1</v>
      </c>
      <c r="F6" s="20">
        <f>'EVM - Valor Agregado'!J6</f>
        <v/>
      </c>
      <c r="G6" s="20">
        <f>IF('EVM - Valor Agregado'!J6="","",'EVM - Valor Agregado'!J6-'EVM - Valor Agregado'!K6)</f>
        <v/>
      </c>
      <c r="H6" s="20">
        <f>IF('EVM - Valor Agregado'!J6="","",'EVM - Valor Agregado'!J6*(1-'EVM - Valor Agregado'!M6))</f>
        <v/>
      </c>
    </row>
    <row r="7">
      <c r="A7" s="20">
        <f>'EVM - Valor Agregado'!B7</f>
        <v/>
      </c>
      <c r="B7" s="23">
        <f>'EVM - Valor Agregado'!A7</f>
        <v/>
      </c>
      <c r="C7" s="27">
        <f>'EVM - Valor Agregado'!Y7</f>
        <v/>
      </c>
      <c r="D7" s="27">
        <f>'EVM - Valor Agregado'!X7</f>
        <v/>
      </c>
      <c r="E7" s="33" t="n">
        <v>1</v>
      </c>
      <c r="F7" s="20">
        <f>'EVM - Valor Agregado'!J7</f>
        <v/>
      </c>
      <c r="G7" s="20">
        <f>IF('EVM - Valor Agregado'!J7="","",'EVM - Valor Agregado'!J7-'EVM - Valor Agregado'!K7)</f>
        <v/>
      </c>
      <c r="H7" s="20">
        <f>IF('EVM - Valor Agregado'!J7="","",'EVM - Valor Agregado'!J7*(1-'EVM - Valor Agregado'!M7))</f>
        <v/>
      </c>
    </row>
    <row r="8">
      <c r="A8" s="20">
        <f>'EVM - Valor Agregado'!B8</f>
        <v/>
      </c>
      <c r="B8" s="23">
        <f>'EVM - Valor Agregado'!A8</f>
        <v/>
      </c>
      <c r="C8" s="27">
        <f>'EVM - Valor Agregado'!Y8</f>
        <v/>
      </c>
      <c r="D8" s="27">
        <f>'EVM - Valor Agregado'!X8</f>
        <v/>
      </c>
      <c r="E8" s="33" t="n">
        <v>1</v>
      </c>
      <c r="F8" s="20">
        <f>'EVM - Valor Agregado'!J8</f>
        <v/>
      </c>
      <c r="G8" s="20">
        <f>IF('EVM - Valor Agregado'!J8="","",'EVM - Valor Agregado'!J8-'EVM - Valor Agregado'!K8)</f>
        <v/>
      </c>
      <c r="H8" s="20">
        <f>IF('EVM - Valor Agregado'!J8="","",'EVM - Valor Agregado'!J8*(1-'EVM - Valor Agregado'!M8))</f>
        <v/>
      </c>
    </row>
    <row r="9">
      <c r="A9" s="20">
        <f>'EVM - Valor Agregado'!B9</f>
        <v/>
      </c>
      <c r="B9" s="23">
        <f>'EVM - Valor Agregado'!A9</f>
        <v/>
      </c>
      <c r="C9" s="27">
        <f>'EVM - Valor Agregado'!Y9</f>
        <v/>
      </c>
      <c r="D9" s="27">
        <f>'EVM - Valor Agregado'!X9</f>
        <v/>
      </c>
      <c r="E9" s="33" t="n">
        <v>1</v>
      </c>
      <c r="F9" s="20">
        <f>'EVM - Valor Agregado'!J9</f>
        <v/>
      </c>
      <c r="G9" s="20">
        <f>IF('EVM - Valor Agregado'!J9="","",'EVM - Valor Agregado'!J9-'EVM - Valor Agregado'!K9)</f>
        <v/>
      </c>
      <c r="H9" s="20">
        <f>IF('EVM - Valor Agregado'!J9="","",'EVM - Valor Agregado'!J9*(1-'EVM - Valor Agregado'!M9))</f>
        <v/>
      </c>
    </row>
    <row r="10">
      <c r="A10" s="20">
        <f>'EVM - Valor Agregado'!B10</f>
        <v/>
      </c>
      <c r="B10" s="23">
        <f>'EVM - Valor Agregado'!A10</f>
        <v/>
      </c>
      <c r="C10" s="27">
        <f>'EVM - Valor Agregado'!Y10</f>
        <v/>
      </c>
      <c r="D10" s="27">
        <f>'EVM - Valor Agregado'!X10</f>
        <v/>
      </c>
      <c r="E10" s="33" t="n">
        <v>1</v>
      </c>
      <c r="F10" s="20">
        <f>'EVM - Valor Agregado'!J10</f>
        <v/>
      </c>
      <c r="G10" s="20">
        <f>IF('EVM - Valor Agregado'!J10="","",'EVM - Valor Agregado'!J10-'EVM - Valor Agregado'!K10)</f>
        <v/>
      </c>
      <c r="H10" s="20">
        <f>IF('EVM - Valor Agregado'!J10="","",'EVM - Valor Agregado'!J10*(1-'EVM - Valor Agregado'!M10))</f>
        <v/>
      </c>
    </row>
    <row r="11">
      <c r="A11" s="20">
        <f>'EVM - Valor Agregado'!B11</f>
        <v/>
      </c>
      <c r="B11" s="23">
        <f>'EVM - Valor Agregado'!A11</f>
        <v/>
      </c>
      <c r="C11" s="27">
        <f>'EVM - Valor Agregado'!Y11</f>
        <v/>
      </c>
      <c r="D11" s="27">
        <f>'EVM - Valor Agregado'!X11</f>
        <v/>
      </c>
      <c r="E11" s="33" t="n">
        <v>1</v>
      </c>
      <c r="F11" s="20">
        <f>'EVM - Valor Agregado'!J11</f>
        <v/>
      </c>
      <c r="G11" s="20">
        <f>IF('EVM - Valor Agregado'!J11="","",'EVM - Valor Agregado'!J11-'EVM - Valor Agregado'!K11)</f>
        <v/>
      </c>
      <c r="H11" s="20">
        <f>IF('EVM - Valor Agregado'!J11="","",'EVM - Valor Agregado'!J11*(1-'EVM - Valor Agregado'!M11))</f>
        <v/>
      </c>
    </row>
    <row r="12">
      <c r="A12" s="20">
        <f>'EVM - Valor Agregado'!B12</f>
        <v/>
      </c>
      <c r="B12" s="23">
        <f>'EVM - Valor Agregado'!A12</f>
        <v/>
      </c>
      <c r="C12" s="27">
        <f>'EVM - Valor Agregado'!Y12</f>
        <v/>
      </c>
      <c r="D12" s="27">
        <f>'EVM - Valor Agregado'!X12</f>
        <v/>
      </c>
      <c r="E12" s="33" t="n">
        <v>1</v>
      </c>
      <c r="F12" s="20">
        <f>'EVM - Valor Agregado'!J12</f>
        <v/>
      </c>
      <c r="G12" s="20">
        <f>IF('EVM - Valor Agregado'!J12="","",'EVM - Valor Agregado'!J12-'EVM - Valor Agregado'!K12)</f>
        <v/>
      </c>
      <c r="H12" s="20">
        <f>IF('EVM - Valor Agregado'!J12="","",'EVM - Valor Agregado'!J12*(1-'EVM - Valor Agregado'!M12))</f>
        <v/>
      </c>
    </row>
    <row r="13">
      <c r="A13" s="20">
        <f>'EVM - Valor Agregado'!B13</f>
        <v/>
      </c>
      <c r="B13" s="23">
        <f>'EVM - Valor Agregado'!A13</f>
        <v/>
      </c>
      <c r="C13" s="27">
        <f>'EVM - Valor Agregado'!Y13</f>
        <v/>
      </c>
      <c r="D13" s="27">
        <f>'EVM - Valor Agregado'!X13</f>
        <v/>
      </c>
      <c r="E13" s="33" t="n">
        <v>1</v>
      </c>
      <c r="F13" s="20">
        <f>'EVM - Valor Agregado'!J13</f>
        <v/>
      </c>
      <c r="G13" s="20">
        <f>IF('EVM - Valor Agregado'!J13="","",'EVM - Valor Agregado'!J13-'EVM - Valor Agregado'!K13)</f>
        <v/>
      </c>
      <c r="H13" s="20">
        <f>IF('EVM - Valor Agregado'!J13="","",'EVM - Valor Agregado'!J13*(1-'EVM - Valor Agregado'!M13))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2026-09-27T16:36:51Z</dcterms:created>
  <dcterms:modified xmlns:dcterms="http://purl.org/dc/terms/" xmlns:xsi="http://www.w3.org/2001/XMLSchema-instance" xsi:type="dcterms:W3CDTF">2026-09-27T16:36:51Z</dcterms:modified>
</cp:coreProperties>
</file>