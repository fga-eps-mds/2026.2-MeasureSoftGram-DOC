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Escalas" sheetId="2" state="visible" r:id="rId2"/>
    <sheet xmlns:r="http://schemas.openxmlformats.org/officeDocument/2006/relationships" name="Riscos" sheetId="3" state="visible" r:id="rId3"/>
    <sheet xmlns:r="http://schemas.openxmlformats.org/officeDocument/2006/relationships" name="Monitoramento" sheetId="4" state="visible" r:id="rId4"/>
    <sheet xmlns:r="http://schemas.openxmlformats.org/officeDocument/2006/relationships" name="Matriz" sheetId="5" state="visible" r:id="rId5"/>
    <sheet xmlns:r="http://schemas.openxmlformats.org/officeDocument/2006/relationships" name="Decisões" sheetId="6" state="visible" r:id="rId6"/>
    <sheet xmlns:r="http://schemas.openxmlformats.org/officeDocument/2006/relationships" name="Lis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5F"/>
      <sz val="13"/>
    </font>
    <font>
      <name val="Arial"/>
      <b val="1"/>
      <color rgb="001F3A5F"/>
      <sz val="11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  <font>
      <name val="Arial"/>
      <i val="1"/>
      <sz val="10"/>
    </font>
    <font>
      <name val="Arial"/>
      <b val="1"/>
      <color rgb="001F3A5F"/>
      <sz val="15"/>
    </font>
    <font>
      <name val="Arial"/>
      <i val="1"/>
      <color rgb="0052514E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A6A8F"/>
      </patternFill>
    </fill>
    <fill>
      <patternFill patternType="solid">
        <fgColor rgb="001F3A5F"/>
      </patternFill>
    </fill>
    <fill>
      <patternFill patternType="solid">
        <fgColor rgb="00CDEBD3"/>
      </patternFill>
    </fill>
    <fill>
      <patternFill patternType="solid">
        <fgColor rgb="00FCE8B2"/>
      </patternFill>
    </fill>
    <fill>
      <patternFill patternType="solid">
        <fgColor rgb="00F4C7C3"/>
      </patternFill>
    </fill>
    <fill>
      <patternFill patternType="solid">
        <fgColor rgb="00FFF2CC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wrapText="1"/>
    </xf>
    <xf numFmtId="0" fontId="11" fillId="3" borderId="0" pivotButton="0" quotePrefix="0" xfId="0"/>
    <xf numFmtId="0" fontId="0" fillId="3" borderId="0" pivotButton="0" quotePrefix="0" xfId="0"/>
    <xf numFmtId="0" fontId="6" fillId="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3" borderId="0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  <xf numFmtId="165" fontId="5" fillId="7" borderId="1" applyAlignment="1" pivotButton="0" quotePrefix="0" xfId="0">
      <alignment vertical="top" wrapText="1"/>
    </xf>
    <xf numFmtId="1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1" fontId="5" fillId="7" borderId="1" applyAlignment="1" pivotButton="0" quotePrefix="0" xfId="0">
      <alignment vertical="top" wrapText="1"/>
    </xf>
    <xf numFmtId="0" fontId="6" fillId="0" borderId="0" pivotButton="0" quotePrefix="0" xfId="0"/>
    <xf numFmtId="0" fontId="1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C7C3"/>
        </patternFill>
      </fill>
    </dxf>
    <dxf>
      <fill>
        <patternFill patternType="solid">
          <fgColor rgb="00FCE8B2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Gestão MSG 2026.2</author>
  </authors>
  <commentList>
    <comment ref="B1" authorId="0" shapeId="0">
      <text>
        <t>Estrutura Analítica de Riscos: Técnico, Gerencial, Organizacional ou Externo.</t>
      </text>
    </comment>
    <comment ref="D1" authorId="0" shapeId="0">
      <text>
        <t>Por que o risco existe. Cite a evidência (diagnóstico, SonarCloud, CI, Zenhub).</t>
      </text>
    </comment>
    <comment ref="F1" authorId="0" shapeId="0">
      <text>
        <t>Sinal observável de que o risco está acontecendo.</t>
      </text>
    </comment>
    <comment ref="G1" authorId="0" shapeId="0">
      <text>
        <t>Evitar, Mitigar, Transferir, Aceitar ou Escalar (PMBOK).</t>
      </text>
    </comment>
    <comment ref="H1" authorId="0" shapeId="0">
      <text>
        <t>O que fazemos antes (de preferência uma issue do Zenhub).</t>
      </text>
    </comment>
    <comment ref="I1" authorId="0" shapeId="0">
      <text>
        <t>O que fazemos se acontecer.</t>
      </text>
    </comment>
    <comment ref="K1" authorId="0" shapeId="0">
      <text>
        <t>Aberto, Em monitoramento, Materializado ou Encerrado.</t>
      </text>
    </comment>
    <comment ref="M1" authorId="0" shapeId="0">
      <text>
        <t>Maior sprint com avaliação deste risco na aba Monitoramento.</t>
      </text>
    </comment>
    <comment ref="N1" authorId="0" shapeId="0">
      <text>
        <t>Probabilidade na última avaliação (aba Monitoramento).</t>
      </text>
    </comment>
    <comment ref="O1" authorId="0" shapeId="0">
      <text>
        <t>Impacto na última avaliação (aba Monitoramento).</t>
      </text>
    </comment>
    <comment ref="P1" authorId="0" shapeId="0">
      <text>
        <t>Probabilidade × Impacto.</t>
      </text>
    </comment>
    <comment ref="Q1" authorId="0" shapeId="0">
      <text>
        <t>1 a 5 Baixo · 6 a 12 Médio · 15 a 25 Elevado.</t>
      </text>
    </comment>
  </commentList>
</comments>
</file>

<file path=xl/comments/comment2.xml><?xml version="1.0" encoding="utf-8"?>
<comments xmlns="http://schemas.openxmlformats.org/spreadsheetml/2006/main">
  <authors>
    <author>Gestão MSG 2026.2</author>
  </authors>
  <commentList>
    <comment ref="A1" authorId="0" shapeId="0">
      <text>
        <t>Mesmo ID da aba Riscos.</t>
      </text>
    </comment>
    <comment ref="B1" authorId="0" shapeId="0">
      <text>
        <t>Sprint em que o risco foi reavaliado (1 a 12). Reavaliar todos os riscos ativos na planning.</t>
      </text>
    </comment>
    <comment ref="D1" authorId="0" shapeId="0">
      <text>
        <t>Ver aba Escalas.</t>
      </text>
    </comment>
    <comment ref="E1" authorId="0" shapeId="0">
      <text>
        <t>Ver aba Escalas.</t>
      </text>
    </comment>
    <comment ref="F1" authorId="0" shapeId="0">
      <text>
        <t>Probabilidade × Impacto.</t>
      </text>
    </comment>
    <comment ref="I1" authorId="0" shapeId="0">
      <text>
        <t>O que mudou desde a última avaliação.</t>
      </text>
    </comment>
  </commentList>
</comments>
</file>

<file path=xl/comments/comment3.xml><?xml version="1.0" encoding="utf-8"?>
<comments xmlns="http://schemas.openxmlformats.org/spreadsheetml/2006/main">
  <authors>
    <author>Gestão MSG 2026.2</author>
  </authors>
  <commentList>
    <comment ref="C5" authorId="0" shapeId="0">
      <text>
        <t>Exposição 1×5 = 5</t>
      </text>
    </comment>
    <comment ref="D5" authorId="0" shapeId="0">
      <text>
        <t>Exposição 2×5 = 10</t>
      </text>
    </comment>
    <comment ref="E5" authorId="0" shapeId="0">
      <text>
        <t>Exposição 3×5 = 15</t>
      </text>
    </comment>
    <comment ref="F5" authorId="0" shapeId="0">
      <text>
        <t>Exposição 4×5 = 20</t>
      </text>
    </comment>
    <comment ref="G5" authorId="0" shapeId="0">
      <text>
        <t>Exposição 5×5 = 25</t>
      </text>
    </comment>
    <comment ref="C6" authorId="0" shapeId="0">
      <text>
        <t>Exposição 1×4 = 4</t>
      </text>
    </comment>
    <comment ref="D6" authorId="0" shapeId="0">
      <text>
        <t>Exposição 2×4 = 8</t>
      </text>
    </comment>
    <comment ref="E6" authorId="0" shapeId="0">
      <text>
        <t>Exposição 3×4 = 12</t>
      </text>
    </comment>
    <comment ref="F6" authorId="0" shapeId="0">
      <text>
        <t>Exposição 4×4 = 16</t>
      </text>
    </comment>
    <comment ref="G6" authorId="0" shapeId="0">
      <text>
        <t>Exposição 5×4 = 20</t>
      </text>
    </comment>
    <comment ref="C7" authorId="0" shapeId="0">
      <text>
        <t>Exposição 1×3 = 3</t>
      </text>
    </comment>
    <comment ref="D7" authorId="0" shapeId="0">
      <text>
        <t>Exposição 2×3 = 6</t>
      </text>
    </comment>
    <comment ref="E7" authorId="0" shapeId="0">
      <text>
        <t>Exposição 3×3 = 9</t>
      </text>
    </comment>
    <comment ref="F7" authorId="0" shapeId="0">
      <text>
        <t>Exposição 4×3 = 12</t>
      </text>
    </comment>
    <comment ref="G7" authorId="0" shapeId="0">
      <text>
        <t>Exposição 5×3 = 15</t>
      </text>
    </comment>
    <comment ref="C8" authorId="0" shapeId="0">
      <text>
        <t>Exposição 1×2 = 2</t>
      </text>
    </comment>
    <comment ref="D8" authorId="0" shapeId="0">
      <text>
        <t>Exposição 2×2 = 4</t>
      </text>
    </comment>
    <comment ref="E8" authorId="0" shapeId="0">
      <text>
        <t>Exposição 3×2 = 6</t>
      </text>
    </comment>
    <comment ref="F8" authorId="0" shapeId="0">
      <text>
        <t>Exposição 4×2 = 8</t>
      </text>
    </comment>
    <comment ref="G8" authorId="0" shapeId="0">
      <text>
        <t>Exposição 5×2 = 10</t>
      </text>
    </comment>
    <comment ref="C9" authorId="0" shapeId="0">
      <text>
        <t>Exposição 1×1 = 1</t>
      </text>
    </comment>
    <comment ref="D9" authorId="0" shapeId="0">
      <text>
        <t>Exposição 2×1 = 2</t>
      </text>
    </comment>
    <comment ref="E9" authorId="0" shapeId="0">
      <text>
        <t>Exposição 3×1 = 3</t>
      </text>
    </comment>
    <comment ref="F9" authorId="0" shapeId="0">
      <text>
        <t>Exposição 4×1 = 4</t>
      </text>
    </comment>
    <comment ref="G9" authorId="0" shapeId="0">
      <text>
        <t>Exposição 5×1 = 5</t>
      </text>
    </comment>
  </commentList>
</comments>
</file>

<file path=xl/comments/comment4.xml><?xml version="1.0" encoding="utf-8"?>
<comments xmlns="http://schemas.openxmlformats.org/spreadsheetml/2006/main">
  <authors>
    <author>Gestão MSG 2026.2</author>
  </authors>
  <commentList>
    <comment ref="C1" authorId="0" shapeId="0">
      <text>
        <t>Técnica ou Gerencial.</t>
      </text>
    </comment>
    <comment ref="D1" authorId="0" shapeId="0">
      <text>
        <t>Qual número do dashboard motivou a decisão.</t>
      </text>
    </comment>
    <comment ref="E1" authorId="0" shapeId="0">
      <text>
        <t>O que o dado mostrou (com o valor).</t>
      </text>
    </comment>
    <comment ref="F1" authorId="0" shapeId="0">
      <text>
        <t>O que o time decidiu fazer.</t>
      </text>
    </comment>
    <comment ref="G1" authorId="0" shapeId="0">
      <text>
        <t>Onde está o dado: aba da planilha, gráfico do dashboard, issue, PR.</t>
      </text>
    </comment>
    <comment ref="H1" authorId="0" shapeId="0">
      <text>
        <t>Como saberemos que funcionou.</t>
      </text>
    </comment>
    <comment ref="I1" authorId="0" shapeId="0">
      <text>
        <t>Preencher depois: o que aconteceu com o indicador.</t>
      </text>
    </comment>
    <comment ref="J1" authorId="0" shapeId="0">
      <text>
        <t>Planejada, Vigente, Concluída ou Revertida.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0B3D2E"/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MeasureSoftGram 2026.2 · Riscos e Decisões</t>
        </is>
      </c>
    </row>
    <row r="2" ht="45" customHeight="1">
      <c r="A2" s="2" t="inlineStr">
        <is>
          <t>Plano de riscos no formato de 2026.1 (escalas 1 a 5, EAR, causa, consequência, prevenção e contingência), com o monitoramento por sprint que alimenta o dashboard. Passe o mouse nos títulos das colunas para ver o que cada uma significa.</t>
        </is>
      </c>
    </row>
    <row r="4">
      <c r="A4" s="3" t="inlineStr">
        <is>
          <t>Cores</t>
        </is>
      </c>
      <c r="B4" s="4" t="n"/>
    </row>
    <row r="5" ht="15" customHeight="1">
      <c r="A5" s="5" t="inlineStr">
        <is>
          <t>Amarelo</t>
        </is>
      </c>
      <c r="B5" s="6" t="inlineStr">
        <is>
          <t>Dado preenchido pelo time.</t>
        </is>
      </c>
    </row>
    <row r="6" ht="15" customHeight="1">
      <c r="A6" s="7" t="inlineStr">
        <is>
          <t>Azul-claro</t>
        </is>
      </c>
      <c r="B6" s="6" t="inlineStr">
        <is>
          <t>Calculado. Não digitar por cima.</t>
        </is>
      </c>
    </row>
    <row r="8">
      <c r="A8" s="3" t="inlineStr">
        <is>
          <t>Abas</t>
        </is>
      </c>
      <c r="B8" s="4" t="n"/>
    </row>
    <row r="9" ht="15" customHeight="1">
      <c r="A9" s="8" t="inlineStr">
        <is>
          <t>Escalas</t>
        </is>
      </c>
      <c r="B9" s="6" t="inlineStr">
        <is>
          <t>Escala de probabilidade, de impacto e faixas de exposição.</t>
        </is>
      </c>
    </row>
    <row r="10" ht="30" customHeight="1">
      <c r="A10" s="8" t="inlineStr">
        <is>
          <t>Riscos</t>
        </is>
      </c>
      <c r="B10" s="6" t="inlineStr">
        <is>
          <t>Identificação e plano de resposta de cada risco. P, I e exposição atuais vêm da última avaliação no Monitoramento.</t>
        </is>
      </c>
    </row>
    <row r="11" ht="30" customHeight="1">
      <c r="A11" s="8" t="inlineStr">
        <is>
          <t>Monitoramento</t>
        </is>
      </c>
      <c r="B11" s="6" t="inlineStr">
        <is>
          <t>Uma linha por risco por sprint avaliada. É o histórico que mostra se o risco está subindo ou caindo.</t>
        </is>
      </c>
    </row>
    <row r="12" ht="15" customHeight="1">
      <c r="A12" s="8" t="inlineStr">
        <is>
          <t>Matriz</t>
        </is>
      </c>
      <c r="B12" s="6" t="inlineStr">
        <is>
          <t>Matriz 5×5 calculada a partir das avaliações atuais.</t>
        </is>
      </c>
    </row>
    <row r="13" ht="30" customHeight="1">
      <c r="A13" s="8" t="inlineStr">
        <is>
          <t>Decisões</t>
        </is>
      </c>
      <c r="B13" s="6" t="inlineStr">
        <is>
          <t>Decisões tomadas a partir do dashboard: contexto, decisão, evidência, critério de sucesso e resultado. A disciplina pede ≥ 3 na R2 e ≥ 5 na R3.</t>
        </is>
      </c>
    </row>
    <row r="15">
      <c r="A15" s="3" t="inlineStr">
        <is>
          <t>Rotina</t>
        </is>
      </c>
      <c r="B15" s="4" t="n"/>
    </row>
    <row r="16" ht="30" customHeight="1">
      <c r="A16" s="8" t="inlineStr">
        <is>
          <t>Toda planning</t>
        </is>
      </c>
      <c r="B16" s="6" t="inlineStr">
        <is>
          <t>Reavaliar os riscos ativos: acrescentar uma linha por risco no Monitoramento com a sprint, P e I. Risco novo: criar na aba Riscos e avaliar no Monitoramento.</t>
        </is>
      </c>
    </row>
    <row r="17" ht="15" customHeight="1">
      <c r="A17" s="8" t="inlineStr">
        <is>
          <t>Decisão nova</t>
        </is>
      </c>
      <c r="B17" s="6" t="inlineStr">
        <is>
          <t>Registrar na aba Decisões e citar o gráfico do dashboard que a motivou.</t>
        </is>
      </c>
    </row>
    <row r="19">
      <c r="A19" s="3" t="inlineStr">
        <is>
          <t>Origem dos riscos</t>
        </is>
      </c>
      <c r="B19" s="4" t="n"/>
    </row>
    <row r="20" ht="45" customHeight="1">
      <c r="A20" s="8" t="inlineStr">
        <is>
          <t>27/09/2026</t>
        </is>
      </c>
      <c r="B20" s="6" t="inlineStr">
        <is>
          <t>R01 a R14 identificados a partir do diagnóstico do ecossistema (docs/diagnostico), das métricas do SonarCloud e da CI (Analytics/data) e do quadro do Zenhub. Responsável = quem está na issue que trata o risco. Proposta para o time validar.</t>
        </is>
      </c>
    </row>
    <row r="22">
      <c r="A22" s="3" t="inlineStr">
        <is>
          <t>Dashboard</t>
        </is>
      </c>
      <c r="B22" s="4" t="n"/>
    </row>
    <row r="23" ht="30" customHeight="1">
      <c r="A23" s="8" t="inlineStr">
        <is>
          <t>Publicar</t>
        </is>
      </c>
      <c r="B23" s="6" t="inlineStr">
        <is>
          <t>Arquivo → Compartilhar → Publicar na Web → CSV das abas Riscos, Monitoramento e Decisões; colar os links em Analytics/config.py.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A8BA0"/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62" customWidth="1" min="3" max="3"/>
  </cols>
  <sheetData>
    <row r="1">
      <c r="A1" s="9" t="inlineStr">
        <is>
          <t>Escalas usadas no plano de riscos (mesmas de 2026.1)</t>
        </is>
      </c>
    </row>
    <row r="3">
      <c r="A3" s="10" t="inlineStr">
        <is>
          <t>Probabilidade</t>
        </is>
      </c>
    </row>
    <row r="4">
      <c r="A4" s="11" t="inlineStr">
        <is>
          <t>Nível</t>
        </is>
      </c>
      <c r="B4" s="11" t="inlineStr">
        <is>
          <t>Descrição</t>
        </is>
      </c>
      <c r="C4" s="11" t="inlineStr">
        <is>
          <t>Chance de ocorrer</t>
        </is>
      </c>
    </row>
    <row r="5">
      <c r="A5" s="12" t="n">
        <v>1</v>
      </c>
      <c r="B5" s="12" t="inlineStr">
        <is>
          <t>Muito baixa</t>
        </is>
      </c>
      <c r="C5" s="12" t="inlineStr">
        <is>
          <t>0 a 19%</t>
        </is>
      </c>
    </row>
    <row r="6">
      <c r="A6" s="12" t="n">
        <v>2</v>
      </c>
      <c r="B6" s="12" t="inlineStr">
        <is>
          <t>Baixa</t>
        </is>
      </c>
      <c r="C6" s="12" t="inlineStr">
        <is>
          <t>20 a 39%</t>
        </is>
      </c>
    </row>
    <row r="7">
      <c r="A7" s="12" t="n">
        <v>3</v>
      </c>
      <c r="B7" s="12" t="inlineStr">
        <is>
          <t>Média</t>
        </is>
      </c>
      <c r="C7" s="12" t="inlineStr">
        <is>
          <t>40 a 59%</t>
        </is>
      </c>
    </row>
    <row r="8">
      <c r="A8" s="12" t="n">
        <v>4</v>
      </c>
      <c r="B8" s="12" t="inlineStr">
        <is>
          <t>Alta</t>
        </is>
      </c>
      <c r="C8" s="12" t="inlineStr">
        <is>
          <t>60 a 79%</t>
        </is>
      </c>
    </row>
    <row r="9">
      <c r="A9" s="12" t="n">
        <v>5</v>
      </c>
      <c r="B9" s="12" t="inlineStr">
        <is>
          <t>Muito alta</t>
        </is>
      </c>
      <c r="C9" s="12" t="inlineStr">
        <is>
          <t>80 a 100%</t>
        </is>
      </c>
    </row>
    <row r="11">
      <c r="A11" s="10" t="inlineStr">
        <is>
          <t>Impacto</t>
        </is>
      </c>
    </row>
    <row r="12">
      <c r="A12" s="11" t="inlineStr">
        <is>
          <t>Nível</t>
        </is>
      </c>
      <c r="B12" s="11" t="inlineStr">
        <is>
          <t>Descrição</t>
        </is>
      </c>
      <c r="C12" s="11" t="inlineStr">
        <is>
          <t>Efeito no projeto</t>
        </is>
      </c>
    </row>
    <row r="13">
      <c r="A13" s="12" t="n">
        <v>1</v>
      </c>
      <c r="B13" s="12" t="inlineStr">
        <is>
          <t>Muito baixo</t>
        </is>
      </c>
      <c r="C13" s="12" t="inlineStr">
        <is>
          <t>Quase imperceptível; sem efeito em prazo, custo ou qualidade</t>
        </is>
      </c>
    </row>
    <row r="14">
      <c r="A14" s="12" t="n">
        <v>2</v>
      </c>
      <c r="B14" s="12" t="inlineStr">
        <is>
          <t>Baixo</t>
        </is>
      </c>
      <c r="C14" s="12" t="inlineStr">
        <is>
          <t>Atraso ou retrabalho pequeno, absorvido na própria sprint</t>
        </is>
      </c>
    </row>
    <row r="15">
      <c r="A15" s="12" t="n">
        <v>3</v>
      </c>
      <c r="B15" s="12" t="inlineStr">
        <is>
          <t>Médio</t>
        </is>
      </c>
      <c r="C15" s="12" t="inlineStr">
        <is>
          <t>Afeta uma entrega da release; exige replanejar tasks</t>
        </is>
      </c>
    </row>
    <row r="16">
      <c r="A16" s="12" t="n">
        <v>4</v>
      </c>
      <c r="B16" s="12" t="inlineStr">
        <is>
          <t>Alto</t>
        </is>
      </c>
      <c r="C16" s="12" t="inlineStr">
        <is>
          <t>Compromete um critério da release ou a nota de qualidade</t>
        </is>
      </c>
    </row>
    <row r="17">
      <c r="A17" s="12" t="n">
        <v>5</v>
      </c>
      <c r="B17" s="12" t="inlineStr">
        <is>
          <t>Muito alto</t>
        </is>
      </c>
      <c r="C17" s="12" t="inlineStr">
        <is>
          <t>Impede a entrega da release ou expõe dado de usuário</t>
        </is>
      </c>
    </row>
    <row r="19">
      <c r="A19" s="10" t="inlineStr">
        <is>
          <t>Exposição = Probabilidade × Impacto</t>
        </is>
      </c>
    </row>
    <row r="20">
      <c r="A20" s="11" t="inlineStr">
        <is>
          <t>Faixa</t>
        </is>
      </c>
      <c r="B20" s="11" t="inlineStr">
        <is>
          <t>Nível</t>
        </is>
      </c>
      <c r="C20" s="11" t="inlineStr">
        <is>
          <t>O que fazer</t>
        </is>
      </c>
    </row>
    <row r="21">
      <c r="A21" s="12" t="inlineStr">
        <is>
          <t>1 a 5</t>
        </is>
      </c>
      <c r="B21" s="13" t="inlineStr">
        <is>
          <t>Baixo</t>
        </is>
      </c>
      <c r="C21" s="12" t="inlineStr">
        <is>
          <t>Aceitar e acompanhar</t>
        </is>
      </c>
    </row>
    <row r="22">
      <c r="A22" s="12" t="inlineStr">
        <is>
          <t>6 a 12</t>
        </is>
      </c>
      <c r="B22" s="14" t="inlineStr">
        <is>
          <t>Médio</t>
        </is>
      </c>
      <c r="C22" s="12" t="inlineStr">
        <is>
          <t>Plano de resposta com responsável</t>
        </is>
      </c>
    </row>
    <row r="23">
      <c r="A23" s="12" t="inlineStr">
        <is>
          <t>15 a 25</t>
        </is>
      </c>
      <c r="B23" s="15" t="inlineStr">
        <is>
          <t>Elevado</t>
        </is>
      </c>
      <c r="C23" s="12" t="inlineStr">
        <is>
          <t>Resposta imediata; revisar em toda sprint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C1C1C"/>
    <outlinePr summaryBelow="1" summaryRight="1"/>
    <pageSetUpPr/>
  </sheetPr>
  <dimension ref="A1:Q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34" customWidth="1" min="4" max="4"/>
    <col width="32" customWidth="1" min="5" max="5"/>
    <col width="28" customWidth="1" min="6" max="6"/>
    <col width="11" customWidth="1" min="7" max="7"/>
    <col width="38" customWidth="1" min="8" max="8"/>
    <col width="32" customWidth="1" min="9" max="9"/>
    <col width="26" customWidth="1" min="10" max="10"/>
    <col width="15" customWidth="1" min="11" max="11"/>
    <col width="11" customWidth="1" min="12" max="12"/>
    <col width="10" customWidth="1" min="13" max="13"/>
    <col width="11" customWidth="1" min="14" max="14"/>
    <col width="9" customWidth="1" min="15" max="15"/>
    <col width="10" customWidth="1" min="16" max="16"/>
    <col width="10" customWidth="1" min="17" max="17"/>
  </cols>
  <sheetData>
    <row r="1" ht="42" customHeight="1">
      <c r="A1" s="16" t="inlineStr">
        <is>
          <t>ID</t>
        </is>
      </c>
      <c r="B1" s="16" t="inlineStr">
        <is>
          <t>Categoria (EAR)</t>
        </is>
      </c>
      <c r="C1" s="16" t="inlineStr">
        <is>
          <t>Risco</t>
        </is>
      </c>
      <c r="D1" s="16" t="inlineStr">
        <is>
          <t>Causa</t>
        </is>
      </c>
      <c r="E1" s="16" t="inlineStr">
        <is>
          <t>Consequência</t>
        </is>
      </c>
      <c r="F1" s="16" t="inlineStr">
        <is>
          <t>Gatilho</t>
        </is>
      </c>
      <c r="G1" s="16" t="inlineStr">
        <is>
          <t>Resposta</t>
        </is>
      </c>
      <c r="H1" s="16" t="inlineStr">
        <is>
          <t>Ação preventiva</t>
        </is>
      </c>
      <c r="I1" s="16" t="inlineStr">
        <is>
          <t>Contingência</t>
        </is>
      </c>
      <c r="J1" s="16" t="inlineStr">
        <is>
          <t>Responsável</t>
        </is>
      </c>
      <c r="K1" s="16" t="inlineStr">
        <is>
          <t>Status</t>
        </is>
      </c>
      <c r="L1" s="16" t="inlineStr">
        <is>
          <t>Identificado em</t>
        </is>
      </c>
      <c r="M1" s="17" t="inlineStr">
        <is>
          <t>Última sprint avaliada</t>
        </is>
      </c>
      <c r="N1" s="17" t="inlineStr">
        <is>
          <t>Probabilidade atual</t>
        </is>
      </c>
      <c r="O1" s="17" t="inlineStr">
        <is>
          <t>Impacto atual</t>
        </is>
      </c>
      <c r="P1" s="17" t="inlineStr">
        <is>
          <t>Exposição atual</t>
        </is>
      </c>
      <c r="Q1" s="17" t="inlineStr">
        <is>
          <t>Nível</t>
        </is>
      </c>
    </row>
    <row r="2">
      <c r="A2" s="18" t="inlineStr">
        <is>
          <t>R01</t>
        </is>
      </c>
      <c r="B2" s="18" t="inlineStr">
        <is>
          <t>Técnico</t>
        </is>
      </c>
      <c r="C2" s="18" t="inlineStr">
        <is>
          <t>Motor de cálculo publicado não corresponde ao código versionado</t>
        </is>
      </c>
      <c r="D2" s="18" t="inlineStr">
        <is>
          <t>Core versionado em 1.5.3, PyPI com msgram-core 1.5.4 publicado de código fora do repositório; Service usa 1.4.9</t>
        </is>
      </c>
      <c r="E2" s="18" t="inlineStr">
        <is>
          <t>Nota de qualidade não reproduzível; CLI e Web dão resultados diferentes para o mesmo projeto</t>
        </is>
      </c>
      <c r="F2" s="18" t="inlineStr">
        <is>
          <t>Teste de regressão entre CLI e Service com notas diferentes</t>
        </is>
      </c>
      <c r="G2" s="18" t="inlineStr">
        <is>
          <t>Mitigar</t>
        </is>
      </c>
      <c r="H2" s="18" t="inlineStr">
        <is>
          <t>TASK05.03 (DOC#50): padronizar msgram-core 1.5.4 no Service e na CLI (PRs Service#19 e CLI#4)</t>
        </is>
      </c>
      <c r="I2" s="18" t="inlineStr">
        <is>
          <t>Congelar a versão do Core usada na homologação e documentar a divergência na R1</t>
        </is>
      </c>
      <c r="J2" s="18" t="inlineStr">
        <is>
          <t>Nathan Benigno Ponce de Abreu</t>
        </is>
      </c>
      <c r="K2" s="18" t="inlineStr">
        <is>
          <t>Aberto</t>
        </is>
      </c>
      <c r="L2" s="19" t="n">
        <v>46292</v>
      </c>
      <c r="M2" s="20">
        <f>IF($A2="","",_xlfn.MAXIFS(Monitoramento!$B$2:$B$200,Monitoramento!$A$2:$A$200,$A2))</f>
        <v/>
      </c>
      <c r="N2" s="20">
        <f>IF(OR($A2="",M2=0),"",SUMIFS(Monitoramento!$D$2:$D$200,Monitoramento!$A$2:$A$200,$A2,Monitoramento!$B$2:$B$200,M2))</f>
        <v/>
      </c>
      <c r="O2" s="20">
        <f>IF(OR($A2="",M2=0),"",SUMIFS(Monitoramento!$E$2:$E$200,Monitoramento!$A$2:$A$200,$A2,Monitoramento!$B$2:$B$200,M2))</f>
        <v/>
      </c>
      <c r="P2" s="20">
        <f>IF(N2="","",N2*O2)</f>
        <v/>
      </c>
      <c r="Q2" s="21">
        <f>IF(P2="","",IF(P2&gt;=15,"Elevado",IF(P2&gt;=6,"Médio","Baixo")))</f>
        <v/>
      </c>
    </row>
    <row r="3">
      <c r="A3" s="18" t="inlineStr">
        <is>
          <t>R02</t>
        </is>
      </c>
      <c r="B3" s="18" t="inlineStr">
        <is>
          <t>Técnico</t>
        </is>
      </c>
      <c r="C3" s="18" t="inlineStr">
        <is>
          <t>Endpoint público expõe e-mail de todos os usuários</t>
        </is>
      </c>
      <c r="D3" s="18" t="inlineStr">
        <is>
          <t>GET /users/ do Service sem autenticação (diagnóstico, gravidade Crítico)</t>
        </is>
      </c>
      <c r="E3" s="18" t="inlineStr">
        <is>
          <t>Vazamento de dado pessoal (LGPD) no ambiente publicado</t>
        </is>
      </c>
      <c r="F3" s="18" t="inlineStr">
        <is>
          <t>Endpoint respondendo sem token em homologação</t>
        </is>
      </c>
      <c r="G3" s="18" t="inlineStr">
        <is>
          <t>Mitigar</t>
        </is>
      </c>
      <c r="H3" s="18" t="inlineStr">
        <is>
          <t>BUG05.01 (DOC#52): corrigir falhas de segurança MSG-03, MSG-12 e MSG-13; Django já atualizado para 5.2 LTS (Service#3)</t>
        </is>
      </c>
      <c r="I3" s="18" t="inlineStr">
        <is>
          <t>Desativar a rota em homologação até a correção</t>
        </is>
      </c>
      <c r="J3" s="18" t="inlineStr">
        <is>
          <t>Marcos Antonio Teles de Castilhos</t>
        </is>
      </c>
      <c r="K3" s="18" t="inlineStr">
        <is>
          <t>Aberto</t>
        </is>
      </c>
      <c r="L3" s="19" t="n">
        <v>46292</v>
      </c>
      <c r="M3" s="20">
        <f>IF($A3="","",_xlfn.MAXIFS(Monitoramento!$B$2:$B$200,Monitoramento!$A$2:$A$200,$A3))</f>
        <v/>
      </c>
      <c r="N3" s="20">
        <f>IF(OR($A3="",M3=0),"",SUMIFS(Monitoramento!$D$2:$D$200,Monitoramento!$A$2:$A$200,$A3,Monitoramento!$B$2:$B$200,M3))</f>
        <v/>
      </c>
      <c r="O3" s="20">
        <f>IF(OR($A3="",M3=0),"",SUMIFS(Monitoramento!$E$2:$E$200,Monitoramento!$A$2:$A$200,$A3,Monitoramento!$B$2:$B$200,M3))</f>
        <v/>
      </c>
      <c r="P3" s="20">
        <f>IF(N3="","",N3*O3)</f>
        <v/>
      </c>
      <c r="Q3" s="21">
        <f>IF(P3="","",IF(P3&gt;=15,"Elevado",IF(P3&gt;=6,"Médio","Baixo")))</f>
        <v/>
      </c>
    </row>
    <row r="4">
      <c r="A4" s="18" t="inlineStr">
        <is>
          <t>R03</t>
        </is>
      </c>
      <c r="B4" s="18" t="inlineStr">
        <is>
          <t>Técnico</t>
        </is>
      </c>
      <c r="C4" s="18" t="inlineStr">
        <is>
          <t>Nenhum portão de qualidade bloqueante nos repositórios</t>
        </is>
      </c>
      <c r="D4" s="18" t="inlineStr">
        <is>
          <t>CI não é exigida antes do merge e o Service não define fail_under de cobertura</t>
        </is>
      </c>
      <c r="E4" s="18" t="inlineStr">
        <is>
          <t>Regressões e queda de cobertura entram na develop sem aviso</t>
        </is>
      </c>
      <c r="F4" s="18" t="inlineStr">
        <is>
          <t>PR mergeado com CI falhando ou sem rodar</t>
        </is>
      </c>
      <c r="G4" s="18" t="inlineStr">
        <is>
          <t>Mitigar</t>
        </is>
      </c>
      <c r="H4" s="18" t="inlineStr">
        <is>
          <t>DOC#74: governança de branches, portões de CI e gestão de secrets nos repositórios centrais</t>
        </is>
      </c>
      <c r="I4" s="18" t="inlineStr">
        <is>
          <t>Revisão manual obrigatória da CI no template de PR</t>
        </is>
      </c>
      <c r="J4" s="18" t="inlineStr">
        <is>
          <t>Luciano Freitas</t>
        </is>
      </c>
      <c r="K4" s="18" t="inlineStr">
        <is>
          <t>Aberto</t>
        </is>
      </c>
      <c r="L4" s="19" t="n">
        <v>46292</v>
      </c>
      <c r="M4" s="20">
        <f>IF($A4="","",_xlfn.MAXIFS(Monitoramento!$B$2:$B$200,Monitoramento!$A$2:$A$200,$A4))</f>
        <v/>
      </c>
      <c r="N4" s="20">
        <f>IF(OR($A4="",M4=0),"",SUMIFS(Monitoramento!$D$2:$D$200,Monitoramento!$A$2:$A$200,$A4,Monitoramento!$B$2:$B$200,M4))</f>
        <v/>
      </c>
      <c r="O4" s="20">
        <f>IF(OR($A4="",M4=0),"",SUMIFS(Monitoramento!$E$2:$E$200,Monitoramento!$A$2:$A$200,$A4,Monitoramento!$B$2:$B$200,M4))</f>
        <v/>
      </c>
      <c r="P4" s="20">
        <f>IF(N4="","",N4*O4)</f>
        <v/>
      </c>
      <c r="Q4" s="21">
        <f>IF(P4="","",IF(P4&gt;=15,"Elevado",IF(P4&gt;=6,"Médio","Baixo")))</f>
        <v/>
      </c>
    </row>
    <row r="5">
      <c r="A5" s="18" t="inlineStr">
        <is>
          <t>R04</t>
        </is>
      </c>
      <c r="B5" s="18" t="inlineStr">
        <is>
          <t>Organizacional</t>
        </is>
      </c>
      <c r="C5" s="18" t="inlineStr">
        <is>
          <t>Coordenação técnica entre squads que atravessam repositórios</t>
        </is>
      </c>
      <c r="D5" s="18" t="inlineStr">
        <is>
          <t>Fatias verticais tocam vários repositórios (ex.: dívida técnica em Action, Parser, CLI e Front)</t>
        </is>
      </c>
      <c r="E5" s="18" t="inlineStr">
        <is>
          <t>Tasks bloqueadas esperando outro repositório; retrabalho de integração</t>
        </is>
      </c>
      <c r="F5" s="18" t="inlineStr">
        <is>
          <t>Issue bloqueada por outra de outro repositório por mais de uma sprint</t>
        </is>
      </c>
      <c r="G5" s="18" t="inlineStr">
        <is>
          <t>Mitigar</t>
        </is>
      </c>
      <c r="H5" s="18" t="inlineStr">
        <is>
          <t>Modelo de squads por release (docs/planejamento/squads) e dependências registradas no Zenhub (blocking)</t>
        </is>
      </c>
      <c r="I5" s="18" t="inlineStr">
        <is>
          <t>Sessão de integração na planning de segunda</t>
        </is>
      </c>
      <c r="J5" s="18" t="inlineStr">
        <is>
          <t>Milena Fernandes Rocha</t>
        </is>
      </c>
      <c r="K5" s="18" t="inlineStr">
        <is>
          <t>Aberto</t>
        </is>
      </c>
      <c r="L5" s="19" t="n">
        <v>46292</v>
      </c>
      <c r="M5" s="20">
        <f>IF($A5="","",_xlfn.MAXIFS(Monitoramento!$B$2:$B$200,Monitoramento!$A$2:$A$200,$A5))</f>
        <v/>
      </c>
      <c r="N5" s="20">
        <f>IF(OR($A5="",M5=0),"",SUMIFS(Monitoramento!$D$2:$D$200,Monitoramento!$A$2:$A$200,$A5,Monitoramento!$B$2:$B$200,M5))</f>
        <v/>
      </c>
      <c r="O5" s="20">
        <f>IF(OR($A5="",M5=0),"",SUMIFS(Monitoramento!$E$2:$E$200,Monitoramento!$A$2:$A$200,$A5,Monitoramento!$B$2:$B$200,M5))</f>
        <v/>
      </c>
      <c r="P5" s="20">
        <f>IF(N5="","",N5*O5)</f>
        <v/>
      </c>
      <c r="Q5" s="21">
        <f>IF(P5="","",IF(P5&gt;=15,"Elevado",IF(P5&gt;=6,"Médio","Baixo")))</f>
        <v/>
      </c>
    </row>
    <row r="6">
      <c r="A6" s="18" t="inlineStr">
        <is>
          <t>R05</t>
        </is>
      </c>
      <c r="B6" s="18" t="inlineStr">
        <is>
          <t>Gerencial</t>
        </is>
      </c>
      <c r="C6" s="18" t="inlineStr">
        <is>
          <t>Objetivo do semestre ainda não fechado com o PO</t>
        </is>
      </c>
      <c r="D6" s="18" t="inlineStr">
        <is>
          <t>Primeira reunião com o PO foi expositiva; Visão do Produto ainda em andamento (DOC#18)</t>
        </is>
      </c>
      <c r="E6" s="18" t="inlineStr">
        <is>
          <t>Backlog priorizado sem validação; risco de entregar o que o PO não espera</t>
        </is>
      </c>
      <c r="F6" s="18" t="inlineStr">
        <is>
          <t>US voltando de 'Aguardando validação do PO (DoR)'</t>
        </is>
      </c>
      <c r="G6" s="18" t="inlineStr">
        <is>
          <t>Mitigar</t>
        </is>
      </c>
      <c r="H6" s="18" t="inlineStr">
        <is>
          <t>Pauta preparada para a reunião semanal com o PO; validar Visão do Produto e Canvas MVP</t>
        </is>
      </c>
      <c r="I6" s="18" t="inlineStr">
        <is>
          <t>Escalar ao professor se não houver validação até a R2</t>
        </is>
      </c>
      <c r="J6" s="18" t="inlineStr">
        <is>
          <t>Guilherme Storch</t>
        </is>
      </c>
      <c r="K6" s="18" t="inlineStr">
        <is>
          <t>Aberto</t>
        </is>
      </c>
      <c r="L6" s="19" t="n">
        <v>46292</v>
      </c>
      <c r="M6" s="20">
        <f>IF($A6="","",_xlfn.MAXIFS(Monitoramento!$B$2:$B$200,Monitoramento!$A$2:$A$200,$A6))</f>
        <v/>
      </c>
      <c r="N6" s="20">
        <f>IF(OR($A6="",M6=0),"",SUMIFS(Monitoramento!$D$2:$D$200,Monitoramento!$A$2:$A$200,$A6,Monitoramento!$B$2:$B$200,M6))</f>
        <v/>
      </c>
      <c r="O6" s="20">
        <f>IF(OR($A6="",M6=0),"",SUMIFS(Monitoramento!$E$2:$E$200,Monitoramento!$A$2:$A$200,$A6,Monitoramento!$B$2:$B$200,M6))</f>
        <v/>
      </c>
      <c r="P6" s="20">
        <f>IF(N6="","",N6*O6)</f>
        <v/>
      </c>
      <c r="Q6" s="21">
        <f>IF(P6="","",IF(P6&gt;=15,"Elevado",IF(P6&gt;=6,"Médio","Baixo")))</f>
        <v/>
      </c>
    </row>
    <row r="7">
      <c r="A7" s="18" t="inlineStr">
        <is>
          <t>R06</t>
        </is>
      </c>
      <c r="B7" s="18" t="inlineStr">
        <is>
          <t>Organizacional</t>
        </is>
      </c>
      <c r="C7" s="18" t="inlineStr">
        <is>
          <t>Desbalanceamento de contribuições num time de 20 pessoas</t>
        </is>
      </c>
      <c r="D7" s="18" t="inlineStr">
        <is>
          <t>Time grande com níveis de conhecimento diferentes (aba Habilidades); várias issues sem responsável</t>
        </is>
      </c>
      <c r="E7" s="18" t="inlineStr">
        <is>
          <t>Concentração de carga e avaliação individual prejudicada na R2 (contribuições equilibradas)</t>
        </is>
      </c>
      <c r="F7" s="18" t="inlineStr">
        <is>
          <t>Integrante sem horas ou sem issue atribuída na sprint</t>
        </is>
      </c>
      <c r="G7" s="18" t="inlineStr">
        <is>
          <t>Aceitar</t>
        </is>
      </c>
      <c r="H7" s="18" t="inlineStr">
        <is>
          <t>Acompanhar horas por integrante (aba Horas) e issues por pessoa no dashboard</t>
        </is>
      </c>
      <c r="I7" s="18" t="inlineStr">
        <is>
          <t>Redistribuir tasks na planning seguinte</t>
        </is>
      </c>
      <c r="J7" s="18" t="inlineStr">
        <is>
          <t>Milena Fernandes Rocha</t>
        </is>
      </c>
      <c r="K7" s="18" t="inlineStr">
        <is>
          <t>Em monitoramento</t>
        </is>
      </c>
      <c r="L7" s="19" t="n">
        <v>46292</v>
      </c>
      <c r="M7" s="20">
        <f>IF($A7="","",_xlfn.MAXIFS(Monitoramento!$B$2:$B$200,Monitoramento!$A$2:$A$200,$A7))</f>
        <v/>
      </c>
      <c r="N7" s="20">
        <f>IF(OR($A7="",M7=0),"",SUMIFS(Monitoramento!$D$2:$D$200,Monitoramento!$A$2:$A$200,$A7,Monitoramento!$B$2:$B$200,M7))</f>
        <v/>
      </c>
      <c r="O7" s="20">
        <f>IF(OR($A7="",M7=0),"",SUMIFS(Monitoramento!$E$2:$E$200,Monitoramento!$A$2:$A$200,$A7,Monitoramento!$B$2:$B$200,M7))</f>
        <v/>
      </c>
      <c r="P7" s="20">
        <f>IF(N7="","",N7*O7)</f>
        <v/>
      </c>
      <c r="Q7" s="21">
        <f>IF(P7="","",IF(P7&gt;=15,"Elevado",IF(P7&gt;=6,"Médio","Baixo")))</f>
        <v/>
      </c>
    </row>
    <row r="8">
      <c r="A8" s="18" t="inlineStr">
        <is>
          <t>R07</t>
        </is>
      </c>
      <c r="B8" s="18" t="inlineStr">
        <is>
          <t>Técnico</t>
        </is>
      </c>
      <c r="C8" s="18" t="inlineStr">
        <is>
          <t>Métricas de repositórios publicadas em repos de semestres anteriores</t>
        </is>
      </c>
      <c r="D8" s="18" t="inlineStr">
        <is>
          <t>metrics.yml de alguns repositórios ainda publica no repositório central (MeasureSoftGram-Core aparece junto do 2026.2-Core)</t>
        </is>
      </c>
      <c r="E8" s="18" t="inlineStr">
        <is>
          <t>Dashboard com dado misturado ou faltando</t>
        </is>
      </c>
      <c r="F8" s="18" t="inlineStr">
        <is>
          <t>Arquivo de métricas com prefixo sem '2026.2-' em Analytics/data</t>
        </is>
      </c>
      <c r="G8" s="18" t="inlineStr">
        <is>
          <t>Mitigar</t>
        </is>
      </c>
      <c r="H8" s="18" t="inlineStr">
        <is>
          <t>DOC#14 (organização dos repositórios): apontar o metrics.yml de todos para o docs-eps de 2026.2</t>
        </is>
      </c>
      <c r="I8" s="18" t="inlineStr">
        <is>
          <t>Filtrar no dashboard só repositórios 2026.2</t>
        </is>
      </c>
      <c r="J8" s="18" t="inlineStr">
        <is>
          <t>Milena Fernandes Rocha</t>
        </is>
      </c>
      <c r="K8" s="18" t="inlineStr">
        <is>
          <t>Aberto</t>
        </is>
      </c>
      <c r="L8" s="19" t="n">
        <v>46292</v>
      </c>
      <c r="M8" s="20">
        <f>IF($A8="","",_xlfn.MAXIFS(Monitoramento!$B$2:$B$200,Monitoramento!$A$2:$A$200,$A8))</f>
        <v/>
      </c>
      <c r="N8" s="20">
        <f>IF(OR($A8="",M8=0),"",SUMIFS(Monitoramento!$D$2:$D$200,Monitoramento!$A$2:$A$200,$A8,Monitoramento!$B$2:$B$200,M8))</f>
        <v/>
      </c>
      <c r="O8" s="20">
        <f>IF(OR($A8="",M8=0),"",SUMIFS(Monitoramento!$E$2:$E$200,Monitoramento!$A$2:$A$200,$A8,Monitoramento!$B$2:$B$200,M8))</f>
        <v/>
      </c>
      <c r="P8" s="20">
        <f>IF(N8="","",N8*O8)</f>
        <v/>
      </c>
      <c r="Q8" s="21">
        <f>IF(P8="","",IF(P8&gt;=15,"Elevado",IF(P8&gt;=6,"Médio","Baixo")))</f>
        <v/>
      </c>
    </row>
    <row r="9">
      <c r="A9" s="18" t="inlineStr">
        <is>
          <t>R08</t>
        </is>
      </c>
      <c r="B9" s="18" t="inlineStr">
        <is>
          <t>Técnico</t>
        </is>
      </c>
      <c r="C9" s="18" t="inlineStr">
        <is>
          <t>Cobertura abaixo da meta de 85% em Front (80,4%), Service (82,4%) e Action (82,7%)</t>
        </is>
      </c>
      <c r="D9" s="18" t="inlineStr">
        <is>
          <t>Suítes herdadas sem manutenção desde 2024 e sem portão de cobertura</t>
        </is>
      </c>
      <c r="E9" s="18" t="inlineStr">
        <is>
          <t>Critério da R1 (cobertura ≥ 85%) não atendido em 3 de 7 repositórios</t>
        </is>
      </c>
      <c r="F9" s="18" t="inlineStr">
        <is>
          <t>Cobertura abaixo de 85% na última coleta do SonarCloud</t>
        </is>
      </c>
      <c r="G9" s="18" t="inlineStr">
        <is>
          <t>Mitigar</t>
        </is>
      </c>
      <c r="H9" s="18" t="inlineStr">
        <is>
          <t>TASK03.02 (DOC#57): saneamento do backlog técnico; testes nos componentes com menor cobertura (painel do dashboard)</t>
        </is>
      </c>
      <c r="I9" s="18" t="inlineStr">
        <is>
          <t>Priorizar testes do Front e do Service na sprint 4</t>
        </is>
      </c>
      <c r="J9" s="18" t="inlineStr">
        <is>
          <t>Antônio José Magalhães Leão Júnior</t>
        </is>
      </c>
      <c r="K9" s="18" t="inlineStr">
        <is>
          <t>Aberto</t>
        </is>
      </c>
      <c r="L9" s="19" t="n">
        <v>46292</v>
      </c>
      <c r="M9" s="20">
        <f>IF($A9="","",_xlfn.MAXIFS(Monitoramento!$B$2:$B$200,Monitoramento!$A$2:$A$200,$A9))</f>
        <v/>
      </c>
      <c r="N9" s="20">
        <f>IF(OR($A9="",M9=0),"",SUMIFS(Monitoramento!$D$2:$D$200,Monitoramento!$A$2:$A$200,$A9,Monitoramento!$B$2:$B$200,M9))</f>
        <v/>
      </c>
      <c r="O9" s="20">
        <f>IF(OR($A9="",M9=0),"",SUMIFS(Monitoramento!$E$2:$E$200,Monitoramento!$A$2:$A$200,$A9,Monitoramento!$B$2:$B$200,M9))</f>
        <v/>
      </c>
      <c r="P9" s="20">
        <f>IF(N9="","",N9*O9)</f>
        <v/>
      </c>
      <c r="Q9" s="21">
        <f>IF(P9="","",IF(P9&gt;=15,"Elevado",IF(P9&gt;=6,"Médio","Baixo")))</f>
        <v/>
      </c>
    </row>
    <row r="10">
      <c r="A10" s="18" t="inlineStr">
        <is>
          <t>R09</t>
        </is>
      </c>
      <c r="B10" s="18" t="inlineStr">
        <is>
          <t>Técnico</t>
        </is>
      </c>
      <c r="C10" s="18" t="inlineStr">
        <is>
          <t>Taxa de falha da CI em 35% (65 de 188 execuções), com Service em 45% e Action em 41%</t>
        </is>
      </c>
      <c r="D10" s="18" t="inlineStr">
        <is>
          <t>Workflows antigos (actions descontinuadas) e metrics.yml falhando no Front e no Service</t>
        </is>
      </c>
      <c r="E10" s="18" t="inlineStr">
        <is>
          <t>Time aprende a ignorar a CI; métricas deixam de ser coletadas</t>
        </is>
      </c>
      <c r="F10" s="18" t="inlineStr">
        <is>
          <t>Taxa de falha acima de 20% no dashboard</t>
        </is>
      </c>
      <c r="G10" s="18" t="inlineStr">
        <is>
          <t>Mitigar</t>
        </is>
      </c>
      <c r="H10" s="18" t="inlineStr">
        <is>
          <t>TASK03.01 (DOC#73) e DOC#74: atualizar workflows e corrigir o metrics.yml</t>
        </is>
      </c>
      <c r="I10" s="18" t="inlineStr">
        <is>
          <t>Rodar o metrics.yml manualmente (workflow_dispatch) antes de cada release</t>
        </is>
      </c>
      <c r="J10" s="18" t="inlineStr">
        <is>
          <t>Luciano Freitas</t>
        </is>
      </c>
      <c r="K10" s="18" t="inlineStr">
        <is>
          <t>Aberto</t>
        </is>
      </c>
      <c r="L10" s="19" t="n">
        <v>46292</v>
      </c>
      <c r="M10" s="20">
        <f>IF($A10="","",_xlfn.MAXIFS(Monitoramento!$B$2:$B$200,Monitoramento!$A$2:$A$200,$A10))</f>
        <v/>
      </c>
      <c r="N10" s="20">
        <f>IF(OR($A10="",M10=0),"",SUMIFS(Monitoramento!$D$2:$D$200,Monitoramento!$A$2:$A$200,$A10,Monitoramento!$B$2:$B$200,M10))</f>
        <v/>
      </c>
      <c r="O10" s="20">
        <f>IF(OR($A10="",M10=0),"",SUMIFS(Monitoramento!$E$2:$E$200,Monitoramento!$A$2:$A$200,$A10,Monitoramento!$B$2:$B$200,M10))</f>
        <v/>
      </c>
      <c r="P10" s="20">
        <f>IF(N10="","",N10*O10)</f>
        <v/>
      </c>
      <c r="Q10" s="21">
        <f>IF(P10="","",IF(P10&gt;=15,"Elevado",IF(P10&gt;=6,"Médio","Baixo")))</f>
        <v/>
      </c>
    </row>
    <row r="11">
      <c r="A11" s="18" t="inlineStr">
        <is>
          <t>R10</t>
        </is>
      </c>
      <c r="B11" s="18" t="inlineStr">
        <is>
          <t>Gerencial</t>
        </is>
      </c>
      <c r="C11" s="18" t="inlineStr">
        <is>
          <t>Sequenciador da Lean Inception atrasado frente ao cronograma</t>
        </is>
      </c>
      <c r="D11" s="18" t="inlineStr">
        <is>
          <t>Sequenciador previsto para 24/08 não fechou</t>
        </is>
      </c>
      <c r="E11" s="18" t="inlineStr">
        <is>
          <t>R1 sem linha de base de escopo (PRP); fatias verticais não decompostas na EAP</t>
        </is>
      </c>
      <c r="F11" s="18" t="inlineStr">
        <is>
          <t>Planning da release sem US priorizadas</t>
        </is>
      </c>
      <c r="G11" s="18" t="inlineStr">
        <is>
          <t>Mitigar</t>
        </is>
      </c>
      <c r="H11" s="18" t="inlineStr">
        <is>
          <t>EAP com pacotes de planejamento; linha de base da R2 congelada na planning de 28/09</t>
        </is>
      </c>
      <c r="I11" s="18" t="inlineStr">
        <is>
          <t>Usar o PRP reconstituído do Zenhub na R1 e declarar no dashboard</t>
        </is>
      </c>
      <c r="J11" s="18" t="inlineStr">
        <is>
          <t>Guilherme Storch</t>
        </is>
      </c>
      <c r="K11" s="18" t="inlineStr">
        <is>
          <t>Materializado</t>
        </is>
      </c>
      <c r="L11" s="19" t="n">
        <v>46292</v>
      </c>
      <c r="M11" s="20">
        <f>IF($A11="","",_xlfn.MAXIFS(Monitoramento!$B$2:$B$200,Monitoramento!$A$2:$A$200,$A11))</f>
        <v/>
      </c>
      <c r="N11" s="20">
        <f>IF(OR($A11="",M11=0),"",SUMIFS(Monitoramento!$D$2:$D$200,Monitoramento!$A$2:$A$200,$A11,Monitoramento!$B$2:$B$200,M11))</f>
        <v/>
      </c>
      <c r="O11" s="20">
        <f>IF(OR($A11="",M11=0),"",SUMIFS(Monitoramento!$E$2:$E$200,Monitoramento!$A$2:$A$200,$A11,Monitoramento!$B$2:$B$200,M11))</f>
        <v/>
      </c>
      <c r="P11" s="20">
        <f>IF(N11="","",N11*O11)</f>
        <v/>
      </c>
      <c r="Q11" s="21">
        <f>IF(P11="","",IF(P11&gt;=15,"Elevado",IF(P11&gt;=6,"Médio","Baixo")))</f>
        <v/>
      </c>
    </row>
    <row r="12">
      <c r="A12" s="18" t="inlineStr">
        <is>
          <t>R11</t>
        </is>
      </c>
      <c r="B12" s="18" t="inlineStr">
        <is>
          <t>Técnico</t>
        </is>
      </c>
      <c r="C12" s="18" t="inlineStr">
        <is>
          <t>AI e Plugin sem projeto válido no SonarCloud</t>
        </is>
      </c>
      <c r="D12" s="18" t="inlineStr">
        <is>
          <t>A coleta do metrics.yml grava erro de component key para AI e Plugin</t>
        </is>
      </c>
      <c r="E12" s="18" t="inlineStr">
        <is>
          <t>Qualidade de 2 dos 9 módulos fica invisível no dashboard e na avaliação</t>
        </is>
      </c>
      <c r="F12" s="18" t="inlineStr">
        <is>
          <t>Arquivo de coleta com 'Component key' em vez de métricas</t>
        </is>
      </c>
      <c r="G12" s="18" t="inlineStr">
        <is>
          <t>Mitigar</t>
        </is>
      </c>
      <c r="H12" s="18" t="inlineStr">
        <is>
          <t>Criar os projetos no SonarCloud da organização e corrigir a chave no metrics.yml</t>
        </is>
      </c>
      <c r="I12" s="18" t="inlineStr">
        <is>
          <t>Declarar no dashboard os módulos sem métrica</t>
        </is>
      </c>
      <c r="J12" s="18" t="inlineStr">
        <is>
          <t>Antônio José Magalhães Leão Júnior</t>
        </is>
      </c>
      <c r="K12" s="18" t="inlineStr">
        <is>
          <t>Aberto</t>
        </is>
      </c>
      <c r="L12" s="19" t="n">
        <v>46292</v>
      </c>
      <c r="M12" s="20">
        <f>IF($A12="","",_xlfn.MAXIFS(Monitoramento!$B$2:$B$200,Monitoramento!$A$2:$A$200,$A12))</f>
        <v/>
      </c>
      <c r="N12" s="20">
        <f>IF(OR($A12="",M12=0),"",SUMIFS(Monitoramento!$D$2:$D$200,Monitoramento!$A$2:$A$200,$A12,Monitoramento!$B$2:$B$200,M12))</f>
        <v/>
      </c>
      <c r="O12" s="20">
        <f>IF(OR($A12="",M12=0),"",SUMIFS(Monitoramento!$E$2:$E$200,Monitoramento!$A$2:$A$200,$A12,Monitoramento!$B$2:$B$200,M12))</f>
        <v/>
      </c>
      <c r="P12" s="20">
        <f>IF(N12="","",N12*O12)</f>
        <v/>
      </c>
      <c r="Q12" s="21">
        <f>IF(P12="","",IF(P12&gt;=15,"Elevado",IF(P12&gt;=6,"Médio","Baixo")))</f>
        <v/>
      </c>
    </row>
    <row r="13">
      <c r="A13" s="18" t="inlineStr">
        <is>
          <t>R12</t>
        </is>
      </c>
      <c r="B13" s="18" t="inlineStr">
        <is>
          <t>Técnico</t>
        </is>
      </c>
      <c r="C13" s="18" t="inlineStr">
        <is>
          <t>Rating de segurança E no Plugin e C no Service (SonarCloud)</t>
        </is>
      </c>
      <c r="D13" s="18" t="inlineStr">
        <is>
          <t>Vulnerabilidades apontadas pelo SonarCloud na última coleta (security_rating 5 no Plugin, 3 no Service)</t>
        </is>
      </c>
      <c r="E13" s="18" t="inlineStr">
        <is>
          <t>Produto publicado com vulnerabilidade conhecida</t>
        </is>
      </c>
      <c r="F13" s="18" t="inlineStr">
        <is>
          <t>security_rating acima de 1 (A) em qualquer repositório</t>
        </is>
      </c>
      <c r="G13" s="18" t="inlineStr">
        <is>
          <t>Mitigar</t>
        </is>
      </c>
      <c r="H13" s="18" t="inlineStr">
        <is>
          <t>Revisar os security hotspots do Plugin e do Service e corrigir as vulnerabilidades</t>
        </is>
      </c>
      <c r="I13" s="18" t="inlineStr">
        <is>
          <t>Não publicar nova versão do Plugin até o rating voltar para A</t>
        </is>
      </c>
      <c r="J13" s="18" t="inlineStr">
        <is>
          <t>Nathan Benigno Ponce de Abreu</t>
        </is>
      </c>
      <c r="K13" s="18" t="inlineStr">
        <is>
          <t>Aberto</t>
        </is>
      </c>
      <c r="L13" s="19" t="n">
        <v>46292</v>
      </c>
      <c r="M13" s="20">
        <f>IF($A13="","",_xlfn.MAXIFS(Monitoramento!$B$2:$B$200,Monitoramento!$A$2:$A$200,$A13))</f>
        <v/>
      </c>
      <c r="N13" s="20">
        <f>IF(OR($A13="",M13=0),"",SUMIFS(Monitoramento!$D$2:$D$200,Monitoramento!$A$2:$A$200,$A13,Monitoramento!$B$2:$B$200,M13))</f>
        <v/>
      </c>
      <c r="O13" s="20">
        <f>IF(OR($A13="",M13=0),"",SUMIFS(Monitoramento!$E$2:$E$200,Monitoramento!$A$2:$A$200,$A13,Monitoramento!$B$2:$B$200,M13))</f>
        <v/>
      </c>
      <c r="P13" s="20">
        <f>IF(N13="","",N13*O13)</f>
        <v/>
      </c>
      <c r="Q13" s="21">
        <f>IF(P13="","",IF(P13&gt;=15,"Elevado",IF(P13&gt;=6,"Médio","Baixo")))</f>
        <v/>
      </c>
    </row>
    <row r="14">
      <c r="A14" s="18" t="inlineStr">
        <is>
          <t>R13</t>
        </is>
      </c>
      <c r="B14" s="18" t="inlineStr">
        <is>
          <t>Gerencial</t>
        </is>
      </c>
      <c r="C14" s="18" t="inlineStr">
        <is>
          <t>Quadro do Zenhub desatualizado invalida velocity e EVM</t>
        </is>
      </c>
      <c r="D14" s="18" t="inlineStr">
        <is>
          <t>Até 27/09: issues sem estimativa e fechadas fora do Done; mover issue fechada para o Done reabre a issue no Zenhub</t>
        </is>
      </c>
      <c r="E14" s="18" t="inlineStr">
        <is>
          <t>Velocity, burndown e SPI da R1 em zero; indicadores não servem para decidir</t>
        </is>
      </c>
      <c r="F14" s="18" t="inlineStr">
        <is>
          <t>Painel 'Confiabilidade do dado do Zenhub' com pendências</t>
        </is>
      </c>
      <c r="G14" s="18" t="inlineStr">
        <is>
          <t>Mitigar</t>
        </is>
      </c>
      <c r="H14" s="18" t="inlineStr">
        <is>
          <t>27/09: todas as issues da R1 estimadas; issue fechada passa a contar como feita onde estiver (decisão D2)</t>
        </is>
      </c>
      <c r="I14" s="18" t="inlineStr">
        <is>
          <t>Planning de 28/09 dedicada a sanear o quadro antes de abrir a R2</t>
        </is>
      </c>
      <c r="J14" s="18" t="inlineStr">
        <is>
          <t>Milena Fernandes Rocha</t>
        </is>
      </c>
      <c r="K14" s="18" t="inlineStr">
        <is>
          <t>Em monitoramento</t>
        </is>
      </c>
      <c r="L14" s="19" t="n">
        <v>46292</v>
      </c>
      <c r="M14" s="20">
        <f>IF($A14="","",_xlfn.MAXIFS(Monitoramento!$B$2:$B$200,Monitoramento!$A$2:$A$200,$A14))</f>
        <v/>
      </c>
      <c r="N14" s="20">
        <f>IF(OR($A14="",M14=0),"",SUMIFS(Monitoramento!$D$2:$D$200,Monitoramento!$A$2:$A$200,$A14,Monitoramento!$B$2:$B$200,M14))</f>
        <v/>
      </c>
      <c r="O14" s="20">
        <f>IF(OR($A14="",M14=0),"",SUMIFS(Monitoramento!$E$2:$E$200,Monitoramento!$A$2:$A$200,$A14,Monitoramento!$B$2:$B$200,M14))</f>
        <v/>
      </c>
      <c r="P14" s="20">
        <f>IF(N14="","",N14*O14)</f>
        <v/>
      </c>
      <c r="Q14" s="21">
        <f>IF(P14="","",IF(P14&gt;=15,"Elevado",IF(P14&gt;=6,"Médio","Baixo")))</f>
        <v/>
      </c>
    </row>
    <row r="15">
      <c r="A15" s="18" t="inlineStr">
        <is>
          <t>R14</t>
        </is>
      </c>
      <c r="B15" s="18" t="inlineStr">
        <is>
          <t>Gerencial</t>
        </is>
      </c>
      <c r="C15" s="18" t="inlineStr">
        <is>
          <t>Horas reais não registradas pela equipe</t>
        </is>
      </c>
      <c r="D15" s="18" t="inlineStr">
        <is>
          <t>Registro de horas criado só em 27/09; sprints 1 a 3 sem dado</t>
        </is>
      </c>
      <c r="E15" s="18" t="inlineStr">
        <is>
          <t>Sem custo real (AC) não há CPI nem EAC; exigência da disciplina não atendida</t>
        </is>
      </c>
      <c r="F15" s="18" t="inlineStr">
        <is>
          <t>Integrantes sem horas na aba Horas após a planning</t>
        </is>
      </c>
      <c r="G15" s="18" t="inlineStr">
        <is>
          <t>Mitigar</t>
        </is>
      </c>
      <c r="H15" s="18" t="inlineStr">
        <is>
          <t>Lançar horas toda segunda na planning (decisão D3)</t>
        </is>
      </c>
      <c r="I15" s="18" t="inlineStr">
        <is>
          <t>Declarar o período sem dado no dashboard; não estimar retroativamente</t>
        </is>
      </c>
      <c r="J15" s="18" t="inlineStr">
        <is>
          <t>Daniel Ferreira Santos Rabelo</t>
        </is>
      </c>
      <c r="K15" s="18" t="inlineStr">
        <is>
          <t>Aberto</t>
        </is>
      </c>
      <c r="L15" s="19" t="n">
        <v>46292</v>
      </c>
      <c r="M15" s="20">
        <f>IF($A15="","",_xlfn.MAXIFS(Monitoramento!$B$2:$B$200,Monitoramento!$A$2:$A$200,$A15))</f>
        <v/>
      </c>
      <c r="N15" s="20">
        <f>IF(OR($A15="",M15=0),"",SUMIFS(Monitoramento!$D$2:$D$200,Monitoramento!$A$2:$A$200,$A15,Monitoramento!$B$2:$B$200,M15))</f>
        <v/>
      </c>
      <c r="O15" s="20">
        <f>IF(OR($A15="",M15=0),"",SUMIFS(Monitoramento!$E$2:$E$200,Monitoramento!$A$2:$A$200,$A15,Monitoramento!$B$2:$B$200,M15))</f>
        <v/>
      </c>
      <c r="P15" s="20">
        <f>IF(N15="","",N15*O15)</f>
        <v/>
      </c>
      <c r="Q15" s="21">
        <f>IF(P15="","",IF(P15&gt;=15,"Elevado",IF(P15&gt;=6,"Médio","Baixo")))</f>
        <v/>
      </c>
    </row>
    <row r="16">
      <c r="M16" s="20">
        <f>IF($A16="","",_xlfn.MAXIFS(Monitoramento!$B$2:$B$200,Monitoramento!$A$2:$A$200,$A16))</f>
        <v/>
      </c>
      <c r="N16" s="20">
        <f>IF(OR($A16="",M16=0),"",SUMIFS(Monitoramento!$D$2:$D$200,Monitoramento!$A$2:$A$200,$A16,Monitoramento!$B$2:$B$200,M16))</f>
        <v/>
      </c>
      <c r="O16" s="20">
        <f>IF(OR($A16="",M16=0),"",SUMIFS(Monitoramento!$E$2:$E$200,Monitoramento!$A$2:$A$200,$A16,Monitoramento!$B$2:$B$200,M16))</f>
        <v/>
      </c>
      <c r="P16" s="20">
        <f>IF(N16="","",N16*O16)</f>
        <v/>
      </c>
      <c r="Q16" s="21">
        <f>IF(P16="","",IF(P16&gt;=15,"Elevado",IF(P16&gt;=6,"Médio","Baixo")))</f>
        <v/>
      </c>
    </row>
    <row r="17">
      <c r="M17" s="20">
        <f>IF($A17="","",_xlfn.MAXIFS(Monitoramento!$B$2:$B$200,Monitoramento!$A$2:$A$200,$A17))</f>
        <v/>
      </c>
      <c r="N17" s="20">
        <f>IF(OR($A17="",M17=0),"",SUMIFS(Monitoramento!$D$2:$D$200,Monitoramento!$A$2:$A$200,$A17,Monitoramento!$B$2:$B$200,M17))</f>
        <v/>
      </c>
      <c r="O17" s="20">
        <f>IF(OR($A17="",M17=0),"",SUMIFS(Monitoramento!$E$2:$E$200,Monitoramento!$A$2:$A$200,$A17,Monitoramento!$B$2:$B$200,M17))</f>
        <v/>
      </c>
      <c r="P17" s="20">
        <f>IF(N17="","",N17*O17)</f>
        <v/>
      </c>
      <c r="Q17" s="21">
        <f>IF(P17="","",IF(P17&gt;=15,"Elevado",IF(P17&gt;=6,"Médio","Baixo")))</f>
        <v/>
      </c>
    </row>
    <row r="18">
      <c r="M18" s="20">
        <f>IF($A18="","",_xlfn.MAXIFS(Monitoramento!$B$2:$B$200,Monitoramento!$A$2:$A$200,$A18))</f>
        <v/>
      </c>
      <c r="N18" s="20">
        <f>IF(OR($A18="",M18=0),"",SUMIFS(Monitoramento!$D$2:$D$200,Monitoramento!$A$2:$A$200,$A18,Monitoramento!$B$2:$B$200,M18))</f>
        <v/>
      </c>
      <c r="O18" s="20">
        <f>IF(OR($A18="",M18=0),"",SUMIFS(Monitoramento!$E$2:$E$200,Monitoramento!$A$2:$A$200,$A18,Monitoramento!$B$2:$B$200,M18))</f>
        <v/>
      </c>
      <c r="P18" s="20">
        <f>IF(N18="","",N18*O18)</f>
        <v/>
      </c>
      <c r="Q18" s="21">
        <f>IF(P18="","",IF(P18&gt;=15,"Elevado",IF(P18&gt;=6,"Médio","Baixo")))</f>
        <v/>
      </c>
    </row>
    <row r="19">
      <c r="M19" s="20">
        <f>IF($A19="","",_xlfn.MAXIFS(Monitoramento!$B$2:$B$200,Monitoramento!$A$2:$A$200,$A19))</f>
        <v/>
      </c>
      <c r="N19" s="20">
        <f>IF(OR($A19="",M19=0),"",SUMIFS(Monitoramento!$D$2:$D$200,Monitoramento!$A$2:$A$200,$A19,Monitoramento!$B$2:$B$200,M19))</f>
        <v/>
      </c>
      <c r="O19" s="20">
        <f>IF(OR($A19="",M19=0),"",SUMIFS(Monitoramento!$E$2:$E$200,Monitoramento!$A$2:$A$200,$A19,Monitoramento!$B$2:$B$200,M19))</f>
        <v/>
      </c>
      <c r="P19" s="20">
        <f>IF(N19="","",N19*O19)</f>
        <v/>
      </c>
      <c r="Q19" s="21">
        <f>IF(P19="","",IF(P19&gt;=15,"Elevado",IF(P19&gt;=6,"Médio","Baixo")))</f>
        <v/>
      </c>
    </row>
    <row r="20">
      <c r="M20" s="20">
        <f>IF($A20="","",_xlfn.MAXIFS(Monitoramento!$B$2:$B$200,Monitoramento!$A$2:$A$200,$A20))</f>
        <v/>
      </c>
      <c r="N20" s="20">
        <f>IF(OR($A20="",M20=0),"",SUMIFS(Monitoramento!$D$2:$D$200,Monitoramento!$A$2:$A$200,$A20,Monitoramento!$B$2:$B$200,M20))</f>
        <v/>
      </c>
      <c r="O20" s="20">
        <f>IF(OR($A20="",M20=0),"",SUMIFS(Monitoramento!$E$2:$E$200,Monitoramento!$A$2:$A$200,$A20,Monitoramento!$B$2:$B$200,M20))</f>
        <v/>
      </c>
      <c r="P20" s="20">
        <f>IF(N20="","",N20*O20)</f>
        <v/>
      </c>
      <c r="Q20" s="21">
        <f>IF(P20="","",IF(P20&gt;=15,"Elevado",IF(P20&gt;=6,"Médio","Baixo")))</f>
        <v/>
      </c>
    </row>
    <row r="21">
      <c r="M21" s="20">
        <f>IF($A21="","",_xlfn.MAXIFS(Monitoramento!$B$2:$B$200,Monitoramento!$A$2:$A$200,$A21))</f>
        <v/>
      </c>
      <c r="N21" s="20">
        <f>IF(OR($A21="",M21=0),"",SUMIFS(Monitoramento!$D$2:$D$200,Monitoramento!$A$2:$A$200,$A21,Monitoramento!$B$2:$B$200,M21))</f>
        <v/>
      </c>
      <c r="O21" s="20">
        <f>IF(OR($A21="",M21=0),"",SUMIFS(Monitoramento!$E$2:$E$200,Monitoramento!$A$2:$A$200,$A21,Monitoramento!$B$2:$B$200,M21))</f>
        <v/>
      </c>
      <c r="P21" s="20">
        <f>IF(N21="","",N21*O21)</f>
        <v/>
      </c>
      <c r="Q21" s="21">
        <f>IF(P21="","",IF(P21&gt;=15,"Elevado",IF(P21&gt;=6,"Médio","Baixo")))</f>
        <v/>
      </c>
    </row>
    <row r="22">
      <c r="M22" s="20">
        <f>IF($A22="","",_xlfn.MAXIFS(Monitoramento!$B$2:$B$200,Monitoramento!$A$2:$A$200,$A22))</f>
        <v/>
      </c>
      <c r="N22" s="20">
        <f>IF(OR($A22="",M22=0),"",SUMIFS(Monitoramento!$D$2:$D$200,Monitoramento!$A$2:$A$200,$A22,Monitoramento!$B$2:$B$200,M22))</f>
        <v/>
      </c>
      <c r="O22" s="20">
        <f>IF(OR($A22="",M22=0),"",SUMIFS(Monitoramento!$E$2:$E$200,Monitoramento!$A$2:$A$200,$A22,Monitoramento!$B$2:$B$200,M22))</f>
        <v/>
      </c>
      <c r="P22" s="20">
        <f>IF(N22="","",N22*O22)</f>
        <v/>
      </c>
      <c r="Q22" s="21">
        <f>IF(P22="","",IF(P22&gt;=15,"Elevado",IF(P22&gt;=6,"Médio","Baixo")))</f>
        <v/>
      </c>
    </row>
    <row r="23">
      <c r="M23" s="20">
        <f>IF($A23="","",_xlfn.MAXIFS(Monitoramento!$B$2:$B$200,Monitoramento!$A$2:$A$200,$A23))</f>
        <v/>
      </c>
      <c r="N23" s="20">
        <f>IF(OR($A23="",M23=0),"",SUMIFS(Monitoramento!$D$2:$D$200,Monitoramento!$A$2:$A$200,$A23,Monitoramento!$B$2:$B$200,M23))</f>
        <v/>
      </c>
      <c r="O23" s="20">
        <f>IF(OR($A23="",M23=0),"",SUMIFS(Monitoramento!$E$2:$E$200,Monitoramento!$A$2:$A$200,$A23,Monitoramento!$B$2:$B$200,M23))</f>
        <v/>
      </c>
      <c r="P23" s="20">
        <f>IF(N23="","",N23*O23)</f>
        <v/>
      </c>
      <c r="Q23" s="21">
        <f>IF(P23="","",IF(P23&gt;=15,"Elevado",IF(P23&gt;=6,"Médio","Baixo")))</f>
        <v/>
      </c>
    </row>
    <row r="24">
      <c r="M24" s="20">
        <f>IF($A24="","",_xlfn.MAXIFS(Monitoramento!$B$2:$B$200,Monitoramento!$A$2:$A$200,$A24))</f>
        <v/>
      </c>
      <c r="N24" s="20">
        <f>IF(OR($A24="",M24=0),"",SUMIFS(Monitoramento!$D$2:$D$200,Monitoramento!$A$2:$A$200,$A24,Monitoramento!$B$2:$B$200,M24))</f>
        <v/>
      </c>
      <c r="O24" s="20">
        <f>IF(OR($A24="",M24=0),"",SUMIFS(Monitoramento!$E$2:$E$200,Monitoramento!$A$2:$A$200,$A24,Monitoramento!$B$2:$B$200,M24))</f>
        <v/>
      </c>
      <c r="P24" s="20">
        <f>IF(N24="","",N24*O24)</f>
        <v/>
      </c>
      <c r="Q24" s="21">
        <f>IF(P24="","",IF(P24&gt;=15,"Elevado",IF(P24&gt;=6,"Médio","Baixo")))</f>
        <v/>
      </c>
    </row>
    <row r="25">
      <c r="M25" s="20">
        <f>IF($A25="","",_xlfn.MAXIFS(Monitoramento!$B$2:$B$200,Monitoramento!$A$2:$A$200,$A25))</f>
        <v/>
      </c>
      <c r="N25" s="20">
        <f>IF(OR($A25="",M25=0),"",SUMIFS(Monitoramento!$D$2:$D$200,Monitoramento!$A$2:$A$200,$A25,Monitoramento!$B$2:$B$200,M25))</f>
        <v/>
      </c>
      <c r="O25" s="20">
        <f>IF(OR($A25="",M25=0),"",SUMIFS(Monitoramento!$E$2:$E$200,Monitoramento!$A$2:$A$200,$A25,Monitoramento!$B$2:$B$200,M25))</f>
        <v/>
      </c>
      <c r="P25" s="20">
        <f>IF(N25="","",N25*O25)</f>
        <v/>
      </c>
      <c r="Q25" s="21">
        <f>IF(P25="","",IF(P25&gt;=15,"Elevado",IF(P25&gt;=6,"Médio","Baixo")))</f>
        <v/>
      </c>
    </row>
    <row r="26">
      <c r="M26" s="20">
        <f>IF($A26="","",_xlfn.MAXIFS(Monitoramento!$B$2:$B$200,Monitoramento!$A$2:$A$200,$A26))</f>
        <v/>
      </c>
      <c r="N26" s="20">
        <f>IF(OR($A26="",M26=0),"",SUMIFS(Monitoramento!$D$2:$D$200,Monitoramento!$A$2:$A$200,$A26,Monitoramento!$B$2:$B$200,M26))</f>
        <v/>
      </c>
      <c r="O26" s="20">
        <f>IF(OR($A26="",M26=0),"",SUMIFS(Monitoramento!$E$2:$E$200,Monitoramento!$A$2:$A$200,$A26,Monitoramento!$B$2:$B$200,M26))</f>
        <v/>
      </c>
      <c r="P26" s="20">
        <f>IF(N26="","",N26*O26)</f>
        <v/>
      </c>
      <c r="Q26" s="21">
        <f>IF(P26="","",IF(P26&gt;=15,"Elevado",IF(P26&gt;=6,"Médio","Baixo")))</f>
        <v/>
      </c>
    </row>
    <row r="27">
      <c r="M27" s="20">
        <f>IF($A27="","",_xlfn.MAXIFS(Monitoramento!$B$2:$B$200,Monitoramento!$A$2:$A$200,$A27))</f>
        <v/>
      </c>
      <c r="N27" s="20">
        <f>IF(OR($A27="",M27=0),"",SUMIFS(Monitoramento!$D$2:$D$200,Monitoramento!$A$2:$A$200,$A27,Monitoramento!$B$2:$B$200,M27))</f>
        <v/>
      </c>
      <c r="O27" s="20">
        <f>IF(OR($A27="",M27=0),"",SUMIFS(Monitoramento!$E$2:$E$200,Monitoramento!$A$2:$A$200,$A27,Monitoramento!$B$2:$B$200,M27))</f>
        <v/>
      </c>
      <c r="P27" s="20">
        <f>IF(N27="","",N27*O27)</f>
        <v/>
      </c>
      <c r="Q27" s="21">
        <f>IF(P27="","",IF(P27&gt;=15,"Elevado",IF(P27&gt;=6,"Médio","Baixo")))</f>
        <v/>
      </c>
    </row>
    <row r="28">
      <c r="M28" s="20">
        <f>IF($A28="","",_xlfn.MAXIFS(Monitoramento!$B$2:$B$200,Monitoramento!$A$2:$A$200,$A28))</f>
        <v/>
      </c>
      <c r="N28" s="20">
        <f>IF(OR($A28="",M28=0),"",SUMIFS(Monitoramento!$D$2:$D$200,Monitoramento!$A$2:$A$200,$A28,Monitoramento!$B$2:$B$200,M28))</f>
        <v/>
      </c>
      <c r="O28" s="20">
        <f>IF(OR($A28="",M28=0),"",SUMIFS(Monitoramento!$E$2:$E$200,Monitoramento!$A$2:$A$200,$A28,Monitoramento!$B$2:$B$200,M28))</f>
        <v/>
      </c>
      <c r="P28" s="20">
        <f>IF(N28="","",N28*O28)</f>
        <v/>
      </c>
      <c r="Q28" s="21">
        <f>IF(P28="","",IF(P28&gt;=15,"Elevado",IF(P28&gt;=6,"Médio","Baixo")))</f>
        <v/>
      </c>
    </row>
    <row r="29">
      <c r="M29" s="20">
        <f>IF($A29="","",_xlfn.MAXIFS(Monitoramento!$B$2:$B$200,Monitoramento!$A$2:$A$200,$A29))</f>
        <v/>
      </c>
      <c r="N29" s="20">
        <f>IF(OR($A29="",M29=0),"",SUMIFS(Monitoramento!$D$2:$D$200,Monitoramento!$A$2:$A$200,$A29,Monitoramento!$B$2:$B$200,M29))</f>
        <v/>
      </c>
      <c r="O29" s="20">
        <f>IF(OR($A29="",M29=0),"",SUMIFS(Monitoramento!$E$2:$E$200,Monitoramento!$A$2:$A$200,$A29,Monitoramento!$B$2:$B$200,M29))</f>
        <v/>
      </c>
      <c r="P29" s="20">
        <f>IF(N29="","",N29*O29)</f>
        <v/>
      </c>
      <c r="Q29" s="21">
        <f>IF(P29="","",IF(P29&gt;=15,"Elevado",IF(P29&gt;=6,"Médio","Baixo")))</f>
        <v/>
      </c>
    </row>
    <row r="30">
      <c r="M30" s="20">
        <f>IF($A30="","",_xlfn.MAXIFS(Monitoramento!$B$2:$B$200,Monitoramento!$A$2:$A$200,$A30))</f>
        <v/>
      </c>
      <c r="N30" s="20">
        <f>IF(OR($A30="",M30=0),"",SUMIFS(Monitoramento!$D$2:$D$200,Monitoramento!$A$2:$A$200,$A30,Monitoramento!$B$2:$B$200,M30))</f>
        <v/>
      </c>
      <c r="O30" s="20">
        <f>IF(OR($A30="",M30=0),"",SUMIFS(Monitoramento!$E$2:$E$200,Monitoramento!$A$2:$A$200,$A30,Monitoramento!$B$2:$B$200,M30))</f>
        <v/>
      </c>
      <c r="P30" s="20">
        <f>IF(N30="","",N30*O30)</f>
        <v/>
      </c>
      <c r="Q30" s="21">
        <f>IF(P30="","",IF(P30&gt;=15,"Elevado",IF(P30&gt;=6,"Médio","Baixo")))</f>
        <v/>
      </c>
    </row>
    <row r="31">
      <c r="M31" s="20">
        <f>IF($A31="","",_xlfn.MAXIFS(Monitoramento!$B$2:$B$200,Monitoramento!$A$2:$A$200,$A31))</f>
        <v/>
      </c>
      <c r="N31" s="20">
        <f>IF(OR($A31="",M31=0),"",SUMIFS(Monitoramento!$D$2:$D$200,Monitoramento!$A$2:$A$200,$A31,Monitoramento!$B$2:$B$200,M31))</f>
        <v/>
      </c>
      <c r="O31" s="20">
        <f>IF(OR($A31="",M31=0),"",SUMIFS(Monitoramento!$E$2:$E$200,Monitoramento!$A$2:$A$200,$A31,Monitoramento!$B$2:$B$200,M31))</f>
        <v/>
      </c>
      <c r="P31" s="20">
        <f>IF(N31="","",N31*O31)</f>
        <v/>
      </c>
      <c r="Q31" s="21">
        <f>IF(P31="","",IF(P31&gt;=15,"Elevado",IF(P31&gt;=6,"Médio","Baixo")))</f>
        <v/>
      </c>
    </row>
    <row r="32">
      <c r="M32" s="20">
        <f>IF($A32="","",_xlfn.MAXIFS(Monitoramento!$B$2:$B$200,Monitoramento!$A$2:$A$200,$A32))</f>
        <v/>
      </c>
      <c r="N32" s="20">
        <f>IF(OR($A32="",M32=0),"",SUMIFS(Monitoramento!$D$2:$D$200,Monitoramento!$A$2:$A$200,$A32,Monitoramento!$B$2:$B$200,M32))</f>
        <v/>
      </c>
      <c r="O32" s="20">
        <f>IF(OR($A32="",M32=0),"",SUMIFS(Monitoramento!$E$2:$E$200,Monitoramento!$A$2:$A$200,$A32,Monitoramento!$B$2:$B$200,M32))</f>
        <v/>
      </c>
      <c r="P32" s="20">
        <f>IF(N32="","",N32*O32)</f>
        <v/>
      </c>
      <c r="Q32" s="21">
        <f>IF(P32="","",IF(P32&gt;=15,"Elevado",IF(P32&gt;=6,"Médio","Baixo")))</f>
        <v/>
      </c>
    </row>
    <row r="33">
      <c r="M33" s="20">
        <f>IF($A33="","",_xlfn.MAXIFS(Monitoramento!$B$2:$B$200,Monitoramento!$A$2:$A$200,$A33))</f>
        <v/>
      </c>
      <c r="N33" s="20">
        <f>IF(OR($A33="",M33=0),"",SUMIFS(Monitoramento!$D$2:$D$200,Monitoramento!$A$2:$A$200,$A33,Monitoramento!$B$2:$B$200,M33))</f>
        <v/>
      </c>
      <c r="O33" s="20">
        <f>IF(OR($A33="",M33=0),"",SUMIFS(Monitoramento!$E$2:$E$200,Monitoramento!$A$2:$A$200,$A33,Monitoramento!$B$2:$B$200,M33))</f>
        <v/>
      </c>
      <c r="P33" s="20">
        <f>IF(N33="","",N33*O33)</f>
        <v/>
      </c>
      <c r="Q33" s="21">
        <f>IF(P33="","",IF(P33&gt;=15,"Elevado",IF(P33&gt;=6,"Médio","Baixo")))</f>
        <v/>
      </c>
    </row>
    <row r="34">
      <c r="M34" s="20">
        <f>IF($A34="","",_xlfn.MAXIFS(Monitoramento!$B$2:$B$200,Monitoramento!$A$2:$A$200,$A34))</f>
        <v/>
      </c>
      <c r="N34" s="20">
        <f>IF(OR($A34="",M34=0),"",SUMIFS(Monitoramento!$D$2:$D$200,Monitoramento!$A$2:$A$200,$A34,Monitoramento!$B$2:$B$200,M34))</f>
        <v/>
      </c>
      <c r="O34" s="20">
        <f>IF(OR($A34="",M34=0),"",SUMIFS(Monitoramento!$E$2:$E$200,Monitoramento!$A$2:$A$200,$A34,Monitoramento!$B$2:$B$200,M34))</f>
        <v/>
      </c>
      <c r="P34" s="20">
        <f>IF(N34="","",N34*O34)</f>
        <v/>
      </c>
      <c r="Q34" s="21">
        <f>IF(P34="","",IF(P34&gt;=15,"Elevado",IF(P34&gt;=6,"Médio","Baixo")))</f>
        <v/>
      </c>
    </row>
    <row r="35">
      <c r="M35" s="20">
        <f>IF($A35="","",_xlfn.MAXIFS(Monitoramento!$B$2:$B$200,Monitoramento!$A$2:$A$200,$A35))</f>
        <v/>
      </c>
      <c r="N35" s="20">
        <f>IF(OR($A35="",M35=0),"",SUMIFS(Monitoramento!$D$2:$D$200,Monitoramento!$A$2:$A$200,$A35,Monitoramento!$B$2:$B$200,M35))</f>
        <v/>
      </c>
      <c r="O35" s="20">
        <f>IF(OR($A35="",M35=0),"",SUMIFS(Monitoramento!$E$2:$E$200,Monitoramento!$A$2:$A$200,$A35,Monitoramento!$B$2:$B$200,M35))</f>
        <v/>
      </c>
      <c r="P35" s="20">
        <f>IF(N35="","",N35*O35)</f>
        <v/>
      </c>
      <c r="Q35" s="21">
        <f>IF(P35="","",IF(P35&gt;=15,"Elevado",IF(P35&gt;=6,"Médio","Baixo")))</f>
        <v/>
      </c>
    </row>
    <row r="36">
      <c r="M36" s="20">
        <f>IF($A36="","",_xlfn.MAXIFS(Monitoramento!$B$2:$B$200,Monitoramento!$A$2:$A$200,$A36))</f>
        <v/>
      </c>
      <c r="N36" s="20">
        <f>IF(OR($A36="",M36=0),"",SUMIFS(Monitoramento!$D$2:$D$200,Monitoramento!$A$2:$A$200,$A36,Monitoramento!$B$2:$B$200,M36))</f>
        <v/>
      </c>
      <c r="O36" s="20">
        <f>IF(OR($A36="",M36=0),"",SUMIFS(Monitoramento!$E$2:$E$200,Monitoramento!$A$2:$A$200,$A36,Monitoramento!$B$2:$B$200,M36))</f>
        <v/>
      </c>
      <c r="P36" s="20">
        <f>IF(N36="","",N36*O36)</f>
        <v/>
      </c>
      <c r="Q36" s="21">
        <f>IF(P36="","",IF(P36&gt;=15,"Elevado",IF(P36&gt;=6,"Médio","Baixo")))</f>
        <v/>
      </c>
    </row>
    <row r="37">
      <c r="M37" s="20">
        <f>IF($A37="","",_xlfn.MAXIFS(Monitoramento!$B$2:$B$200,Monitoramento!$A$2:$A$200,$A37))</f>
        <v/>
      </c>
      <c r="N37" s="20">
        <f>IF(OR($A37="",M37=0),"",SUMIFS(Monitoramento!$D$2:$D$200,Monitoramento!$A$2:$A$200,$A37,Monitoramento!$B$2:$B$200,M37))</f>
        <v/>
      </c>
      <c r="O37" s="20">
        <f>IF(OR($A37="",M37=0),"",SUMIFS(Monitoramento!$E$2:$E$200,Monitoramento!$A$2:$A$200,$A37,Monitoramento!$B$2:$B$200,M37))</f>
        <v/>
      </c>
      <c r="P37" s="20">
        <f>IF(N37="","",N37*O37)</f>
        <v/>
      </c>
      <c r="Q37" s="21">
        <f>IF(P37="","",IF(P37&gt;=15,"Elevado",IF(P37&gt;=6,"Médio","Baixo")))</f>
        <v/>
      </c>
    </row>
    <row r="38">
      <c r="M38" s="20">
        <f>IF($A38="","",_xlfn.MAXIFS(Monitoramento!$B$2:$B$200,Monitoramento!$A$2:$A$200,$A38))</f>
        <v/>
      </c>
      <c r="N38" s="20">
        <f>IF(OR($A38="",M38=0),"",SUMIFS(Monitoramento!$D$2:$D$200,Monitoramento!$A$2:$A$200,$A38,Monitoramento!$B$2:$B$200,M38))</f>
        <v/>
      </c>
      <c r="O38" s="20">
        <f>IF(OR($A38="",M38=0),"",SUMIFS(Monitoramento!$E$2:$E$200,Monitoramento!$A$2:$A$200,$A38,Monitoramento!$B$2:$B$200,M38))</f>
        <v/>
      </c>
      <c r="P38" s="20">
        <f>IF(N38="","",N38*O38)</f>
        <v/>
      </c>
      <c r="Q38" s="21">
        <f>IF(P38="","",IF(P38&gt;=15,"Elevado",IF(P38&gt;=6,"Médio","Baixo")))</f>
        <v/>
      </c>
    </row>
    <row r="39">
      <c r="M39" s="20">
        <f>IF($A39="","",_xlfn.MAXIFS(Monitoramento!$B$2:$B$200,Monitoramento!$A$2:$A$200,$A39))</f>
        <v/>
      </c>
      <c r="N39" s="20">
        <f>IF(OR($A39="",M39=0),"",SUMIFS(Monitoramento!$D$2:$D$200,Monitoramento!$A$2:$A$200,$A39,Monitoramento!$B$2:$B$200,M39))</f>
        <v/>
      </c>
      <c r="O39" s="20">
        <f>IF(OR($A39="",M39=0),"",SUMIFS(Monitoramento!$E$2:$E$200,Monitoramento!$A$2:$A$200,$A39,Monitoramento!$B$2:$B$200,M39))</f>
        <v/>
      </c>
      <c r="P39" s="20">
        <f>IF(N39="","",N39*O39)</f>
        <v/>
      </c>
      <c r="Q39" s="21">
        <f>IF(P39="","",IF(P39&gt;=15,"Elevado",IF(P39&gt;=6,"Médio","Baixo")))</f>
        <v/>
      </c>
    </row>
    <row r="40">
      <c r="M40" s="20">
        <f>IF($A40="","",_xlfn.MAXIFS(Monitoramento!$B$2:$B$200,Monitoramento!$A$2:$A$200,$A40))</f>
        <v/>
      </c>
      <c r="N40" s="20">
        <f>IF(OR($A40="",M40=0),"",SUMIFS(Monitoramento!$D$2:$D$200,Monitoramento!$A$2:$A$200,$A40,Monitoramento!$B$2:$B$200,M40))</f>
        <v/>
      </c>
      <c r="O40" s="20">
        <f>IF(OR($A40="",M40=0),"",SUMIFS(Monitoramento!$E$2:$E$200,Monitoramento!$A$2:$A$200,$A40,Monitoramento!$B$2:$B$200,M40))</f>
        <v/>
      </c>
      <c r="P40" s="20">
        <f>IF(N40="","",N40*O40)</f>
        <v/>
      </c>
      <c r="Q40" s="21">
        <f>IF(P40="","",IF(P40&gt;=15,"Elevado",IF(P40&gt;=6,"Médio","Baixo")))</f>
        <v/>
      </c>
    </row>
    <row r="41">
      <c r="M41" s="20">
        <f>IF($A41="","",_xlfn.MAXIFS(Monitoramento!$B$2:$B$200,Monitoramento!$A$2:$A$200,$A41))</f>
        <v/>
      </c>
      <c r="N41" s="20">
        <f>IF(OR($A41="",M41=0),"",SUMIFS(Monitoramento!$D$2:$D$200,Monitoramento!$A$2:$A$200,$A41,Monitoramento!$B$2:$B$200,M41))</f>
        <v/>
      </c>
      <c r="O41" s="20">
        <f>IF(OR($A41="",M41=0),"",SUMIFS(Monitoramento!$E$2:$E$200,Monitoramento!$A$2:$A$200,$A41,Monitoramento!$B$2:$B$200,M41))</f>
        <v/>
      </c>
      <c r="P41" s="20">
        <f>IF(N41="","",N41*O41)</f>
        <v/>
      </c>
      <c r="Q41" s="21">
        <f>IF(P41="","",IF(P41&gt;=15,"Elevado",IF(P41&gt;=6,"Médio","Baixo")))</f>
        <v/>
      </c>
    </row>
    <row r="42">
      <c r="M42" s="20">
        <f>IF($A42="","",_xlfn.MAXIFS(Monitoramento!$B$2:$B$200,Monitoramento!$A$2:$A$200,$A42))</f>
        <v/>
      </c>
      <c r="N42" s="20">
        <f>IF(OR($A42="",M42=0),"",SUMIFS(Monitoramento!$D$2:$D$200,Monitoramento!$A$2:$A$200,$A42,Monitoramento!$B$2:$B$200,M42))</f>
        <v/>
      </c>
      <c r="O42" s="20">
        <f>IF(OR($A42="",M42=0),"",SUMIFS(Monitoramento!$E$2:$E$200,Monitoramento!$A$2:$A$200,$A42,Monitoramento!$B$2:$B$200,M42))</f>
        <v/>
      </c>
      <c r="P42" s="20">
        <f>IF(N42="","",N42*O42)</f>
        <v/>
      </c>
      <c r="Q42" s="21">
        <f>IF(P42="","",IF(P42&gt;=15,"Elevado",IF(P42&gt;=6,"Médio","Baixo")))</f>
        <v/>
      </c>
    </row>
    <row r="43">
      <c r="M43" s="20">
        <f>IF($A43="","",_xlfn.MAXIFS(Monitoramento!$B$2:$B$200,Monitoramento!$A$2:$A$200,$A43))</f>
        <v/>
      </c>
      <c r="N43" s="20">
        <f>IF(OR($A43="",M43=0),"",SUMIFS(Monitoramento!$D$2:$D$200,Monitoramento!$A$2:$A$200,$A43,Monitoramento!$B$2:$B$200,M43))</f>
        <v/>
      </c>
      <c r="O43" s="20">
        <f>IF(OR($A43="",M43=0),"",SUMIFS(Monitoramento!$E$2:$E$200,Monitoramento!$A$2:$A$200,$A43,Monitoramento!$B$2:$B$200,M43))</f>
        <v/>
      </c>
      <c r="P43" s="20">
        <f>IF(N43="","",N43*O43)</f>
        <v/>
      </c>
      <c r="Q43" s="21">
        <f>IF(P43="","",IF(P43&gt;=15,"Elevado",IF(P43&gt;=6,"Médio","Baixo")))</f>
        <v/>
      </c>
    </row>
    <row r="44">
      <c r="M44" s="20">
        <f>IF($A44="","",_xlfn.MAXIFS(Monitoramento!$B$2:$B$200,Monitoramento!$A$2:$A$200,$A44))</f>
        <v/>
      </c>
      <c r="N44" s="20">
        <f>IF(OR($A44="",M44=0),"",SUMIFS(Monitoramento!$D$2:$D$200,Monitoramento!$A$2:$A$200,$A44,Monitoramento!$B$2:$B$200,M44))</f>
        <v/>
      </c>
      <c r="O44" s="20">
        <f>IF(OR($A44="",M44=0),"",SUMIFS(Monitoramento!$E$2:$E$200,Monitoramento!$A$2:$A$200,$A44,Monitoramento!$B$2:$B$200,M44))</f>
        <v/>
      </c>
      <c r="P44" s="20">
        <f>IF(N44="","",N44*O44)</f>
        <v/>
      </c>
      <c r="Q44" s="21">
        <f>IF(P44="","",IF(P44&gt;=15,"Elevado",IF(P44&gt;=6,"Médio","Baixo")))</f>
        <v/>
      </c>
    </row>
    <row r="45">
      <c r="M45" s="20">
        <f>IF($A45="","",_xlfn.MAXIFS(Monitoramento!$B$2:$B$200,Monitoramento!$A$2:$A$200,$A45))</f>
        <v/>
      </c>
      <c r="N45" s="20">
        <f>IF(OR($A45="",M45=0),"",SUMIFS(Monitoramento!$D$2:$D$200,Monitoramento!$A$2:$A$200,$A45,Monitoramento!$B$2:$B$200,M45))</f>
        <v/>
      </c>
      <c r="O45" s="20">
        <f>IF(OR($A45="",M45=0),"",SUMIFS(Monitoramento!$E$2:$E$200,Monitoramento!$A$2:$A$200,$A45,Monitoramento!$B$2:$B$200,M45))</f>
        <v/>
      </c>
      <c r="P45" s="20">
        <f>IF(N45="","",N45*O45)</f>
        <v/>
      </c>
      <c r="Q45" s="21">
        <f>IF(P45="","",IF(P45&gt;=15,"Elevado",IF(P45&gt;=6,"Médio","Baixo")))</f>
        <v/>
      </c>
    </row>
    <row r="46">
      <c r="M46" s="20">
        <f>IF($A46="","",_xlfn.MAXIFS(Monitoramento!$B$2:$B$200,Monitoramento!$A$2:$A$200,$A46))</f>
        <v/>
      </c>
      <c r="N46" s="20">
        <f>IF(OR($A46="",M46=0),"",SUMIFS(Monitoramento!$D$2:$D$200,Monitoramento!$A$2:$A$200,$A46,Monitoramento!$B$2:$B$200,M46))</f>
        <v/>
      </c>
      <c r="O46" s="20">
        <f>IF(OR($A46="",M46=0),"",SUMIFS(Monitoramento!$E$2:$E$200,Monitoramento!$A$2:$A$200,$A46,Monitoramento!$B$2:$B$200,M46))</f>
        <v/>
      </c>
      <c r="P46" s="20">
        <f>IF(N46="","",N46*O46)</f>
        <v/>
      </c>
      <c r="Q46" s="21">
        <f>IF(P46="","",IF(P46&gt;=15,"Elevado",IF(P46&gt;=6,"Médio","Baixo")))</f>
        <v/>
      </c>
    </row>
    <row r="47">
      <c r="M47" s="20">
        <f>IF($A47="","",_xlfn.MAXIFS(Monitoramento!$B$2:$B$200,Monitoramento!$A$2:$A$200,$A47))</f>
        <v/>
      </c>
      <c r="N47" s="20">
        <f>IF(OR($A47="",M47=0),"",SUMIFS(Monitoramento!$D$2:$D$200,Monitoramento!$A$2:$A$200,$A47,Monitoramento!$B$2:$B$200,M47))</f>
        <v/>
      </c>
      <c r="O47" s="20">
        <f>IF(OR($A47="",M47=0),"",SUMIFS(Monitoramento!$E$2:$E$200,Monitoramento!$A$2:$A$200,$A47,Monitoramento!$B$2:$B$200,M47))</f>
        <v/>
      </c>
      <c r="P47" s="20">
        <f>IF(N47="","",N47*O47)</f>
        <v/>
      </c>
      <c r="Q47" s="21">
        <f>IF(P47="","",IF(P47&gt;=15,"Elevado",IF(P47&gt;=6,"Médio","Baixo")))</f>
        <v/>
      </c>
    </row>
    <row r="48">
      <c r="M48" s="20">
        <f>IF($A48="","",_xlfn.MAXIFS(Monitoramento!$B$2:$B$200,Monitoramento!$A$2:$A$200,$A48))</f>
        <v/>
      </c>
      <c r="N48" s="20">
        <f>IF(OR($A48="",M48=0),"",SUMIFS(Monitoramento!$D$2:$D$200,Monitoramento!$A$2:$A$200,$A48,Monitoramento!$B$2:$B$200,M48))</f>
        <v/>
      </c>
      <c r="O48" s="20">
        <f>IF(OR($A48="",M48=0),"",SUMIFS(Monitoramento!$E$2:$E$200,Monitoramento!$A$2:$A$200,$A48,Monitoramento!$B$2:$B$200,M48))</f>
        <v/>
      </c>
      <c r="P48" s="20">
        <f>IF(N48="","",N48*O48)</f>
        <v/>
      </c>
      <c r="Q48" s="21">
        <f>IF(P48="","",IF(P48&gt;=15,"Elevado",IF(P48&gt;=6,"Médio","Baixo")))</f>
        <v/>
      </c>
    </row>
    <row r="49">
      <c r="M49" s="20">
        <f>IF($A49="","",_xlfn.MAXIFS(Monitoramento!$B$2:$B$200,Monitoramento!$A$2:$A$200,$A49))</f>
        <v/>
      </c>
      <c r="N49" s="20">
        <f>IF(OR($A49="",M49=0),"",SUMIFS(Monitoramento!$D$2:$D$200,Monitoramento!$A$2:$A$200,$A49,Monitoramento!$B$2:$B$200,M49))</f>
        <v/>
      </c>
      <c r="O49" s="20">
        <f>IF(OR($A49="",M49=0),"",SUMIFS(Monitoramento!$E$2:$E$200,Monitoramento!$A$2:$A$200,$A49,Monitoramento!$B$2:$B$200,M49))</f>
        <v/>
      </c>
      <c r="P49" s="20">
        <f>IF(N49="","",N49*O49)</f>
        <v/>
      </c>
      <c r="Q49" s="21">
        <f>IF(P49="","",IF(P49&gt;=15,"Elevado",IF(P49&gt;=6,"Médio","Baixo")))</f>
        <v/>
      </c>
    </row>
    <row r="50">
      <c r="M50" s="20">
        <f>IF($A50="","",_xlfn.MAXIFS(Monitoramento!$B$2:$B$200,Monitoramento!$A$2:$A$200,$A50))</f>
        <v/>
      </c>
      <c r="N50" s="20">
        <f>IF(OR($A50="",M50=0),"",SUMIFS(Monitoramento!$D$2:$D$200,Monitoramento!$A$2:$A$200,$A50,Monitoramento!$B$2:$B$200,M50))</f>
        <v/>
      </c>
      <c r="O50" s="20">
        <f>IF(OR($A50="",M50=0),"",SUMIFS(Monitoramento!$E$2:$E$200,Monitoramento!$A$2:$A$200,$A50,Monitoramento!$B$2:$B$200,M50))</f>
        <v/>
      </c>
      <c r="P50" s="20">
        <f>IF(N50="","",N50*O50)</f>
        <v/>
      </c>
      <c r="Q50" s="21">
        <f>IF(P50="","",IF(P50&gt;=15,"Elevado",IF(P50&gt;=6,"Médio","Baixo")))</f>
        <v/>
      </c>
    </row>
    <row r="51">
      <c r="M51" s="20">
        <f>IF($A51="","",_xlfn.MAXIFS(Monitoramento!$B$2:$B$200,Monitoramento!$A$2:$A$200,$A51))</f>
        <v/>
      </c>
      <c r="N51" s="20">
        <f>IF(OR($A51="",M51=0),"",SUMIFS(Monitoramento!$D$2:$D$200,Monitoramento!$A$2:$A$200,$A51,Monitoramento!$B$2:$B$200,M51))</f>
        <v/>
      </c>
      <c r="O51" s="20">
        <f>IF(OR($A51="",M51=0),"",SUMIFS(Monitoramento!$E$2:$E$200,Monitoramento!$A$2:$A$200,$A51,Monitoramento!$B$2:$B$200,M51))</f>
        <v/>
      </c>
      <c r="P51" s="20">
        <f>IF(N51="","",N51*O51)</f>
        <v/>
      </c>
      <c r="Q51" s="21">
        <f>IF(P51="","",IF(P51&gt;=15,"Elevado",IF(P51&gt;=6,"Médio","Baixo")))</f>
        <v/>
      </c>
    </row>
    <row r="52">
      <c r="M52" s="20">
        <f>IF($A52="","",_xlfn.MAXIFS(Monitoramento!$B$2:$B$200,Monitoramento!$A$2:$A$200,$A52))</f>
        <v/>
      </c>
      <c r="N52" s="20">
        <f>IF(OR($A52="",M52=0),"",SUMIFS(Monitoramento!$D$2:$D$200,Monitoramento!$A$2:$A$200,$A52,Monitoramento!$B$2:$B$200,M52))</f>
        <v/>
      </c>
      <c r="O52" s="20">
        <f>IF(OR($A52="",M52=0),"",SUMIFS(Monitoramento!$E$2:$E$200,Monitoramento!$A$2:$A$200,$A52,Monitoramento!$B$2:$B$200,M52))</f>
        <v/>
      </c>
      <c r="P52" s="20">
        <f>IF(N52="","",N52*O52)</f>
        <v/>
      </c>
      <c r="Q52" s="21">
        <f>IF(P52="","",IF(P52&gt;=15,"Elevado",IF(P52&gt;=6,"Médio","Baixo")))</f>
        <v/>
      </c>
    </row>
    <row r="53">
      <c r="M53" s="20">
        <f>IF($A53="","",_xlfn.MAXIFS(Monitoramento!$B$2:$B$200,Monitoramento!$A$2:$A$200,$A53))</f>
        <v/>
      </c>
      <c r="N53" s="20">
        <f>IF(OR($A53="",M53=0),"",SUMIFS(Monitoramento!$D$2:$D$200,Monitoramento!$A$2:$A$200,$A53,Monitoramento!$B$2:$B$200,M53))</f>
        <v/>
      </c>
      <c r="O53" s="20">
        <f>IF(OR($A53="",M53=0),"",SUMIFS(Monitoramento!$E$2:$E$200,Monitoramento!$A$2:$A$200,$A53,Monitoramento!$B$2:$B$200,M53))</f>
        <v/>
      </c>
      <c r="P53" s="20">
        <f>IF(N53="","",N53*O53)</f>
        <v/>
      </c>
      <c r="Q53" s="21">
        <f>IF(P53="","",IF(P53&gt;=15,"Elevado",IF(P53&gt;=6,"Médio","Baixo")))</f>
        <v/>
      </c>
    </row>
    <row r="54">
      <c r="M54" s="20">
        <f>IF($A54="","",_xlfn.MAXIFS(Monitoramento!$B$2:$B$200,Monitoramento!$A$2:$A$200,$A54))</f>
        <v/>
      </c>
      <c r="N54" s="20">
        <f>IF(OR($A54="",M54=0),"",SUMIFS(Monitoramento!$D$2:$D$200,Monitoramento!$A$2:$A$200,$A54,Monitoramento!$B$2:$B$200,M54))</f>
        <v/>
      </c>
      <c r="O54" s="20">
        <f>IF(OR($A54="",M54=0),"",SUMIFS(Monitoramento!$E$2:$E$200,Monitoramento!$A$2:$A$200,$A54,Monitoramento!$B$2:$B$200,M54))</f>
        <v/>
      </c>
      <c r="P54" s="20">
        <f>IF(N54="","",N54*O54)</f>
        <v/>
      </c>
      <c r="Q54" s="21">
        <f>IF(P54="","",IF(P54&gt;=15,"Elevado",IF(P54&gt;=6,"Médio","Baixo")))</f>
        <v/>
      </c>
    </row>
    <row r="55">
      <c r="M55" s="20">
        <f>IF($A55="","",_xlfn.MAXIFS(Monitoramento!$B$2:$B$200,Monitoramento!$A$2:$A$200,$A55))</f>
        <v/>
      </c>
      <c r="N55" s="20">
        <f>IF(OR($A55="",M55=0),"",SUMIFS(Monitoramento!$D$2:$D$200,Monitoramento!$A$2:$A$200,$A55,Monitoramento!$B$2:$B$200,M55))</f>
        <v/>
      </c>
      <c r="O55" s="20">
        <f>IF(OR($A55="",M55=0),"",SUMIFS(Monitoramento!$E$2:$E$200,Monitoramento!$A$2:$A$200,$A55,Monitoramento!$B$2:$B$200,M55))</f>
        <v/>
      </c>
      <c r="P55" s="20">
        <f>IF(N55="","",N55*O55)</f>
        <v/>
      </c>
      <c r="Q55" s="21">
        <f>IF(P55="","",IF(P55&gt;=15,"Elevado",IF(P55&gt;=6,"Médio","Baixo")))</f>
        <v/>
      </c>
    </row>
    <row r="56">
      <c r="M56" s="20">
        <f>IF($A56="","",_xlfn.MAXIFS(Monitoramento!$B$2:$B$200,Monitoramento!$A$2:$A$200,$A56))</f>
        <v/>
      </c>
      <c r="N56" s="20">
        <f>IF(OR($A56="",M56=0),"",SUMIFS(Monitoramento!$D$2:$D$200,Monitoramento!$A$2:$A$200,$A56,Monitoramento!$B$2:$B$200,M56))</f>
        <v/>
      </c>
      <c r="O56" s="20">
        <f>IF(OR($A56="",M56=0),"",SUMIFS(Monitoramento!$E$2:$E$200,Monitoramento!$A$2:$A$200,$A56,Monitoramento!$B$2:$B$200,M56))</f>
        <v/>
      </c>
      <c r="P56" s="20">
        <f>IF(N56="","",N56*O56)</f>
        <v/>
      </c>
      <c r="Q56" s="21">
        <f>IF(P56="","",IF(P56&gt;=15,"Elevado",IF(P56&gt;=6,"Médio","Baixo")))</f>
        <v/>
      </c>
    </row>
    <row r="57">
      <c r="M57" s="20">
        <f>IF($A57="","",_xlfn.MAXIFS(Monitoramento!$B$2:$B$200,Monitoramento!$A$2:$A$200,$A57))</f>
        <v/>
      </c>
      <c r="N57" s="20">
        <f>IF(OR($A57="",M57=0),"",SUMIFS(Monitoramento!$D$2:$D$200,Monitoramento!$A$2:$A$200,$A57,Monitoramento!$B$2:$B$200,M57))</f>
        <v/>
      </c>
      <c r="O57" s="20">
        <f>IF(OR($A57="",M57=0),"",SUMIFS(Monitoramento!$E$2:$E$200,Monitoramento!$A$2:$A$200,$A57,Monitoramento!$B$2:$B$200,M57))</f>
        <v/>
      </c>
      <c r="P57" s="20">
        <f>IF(N57="","",N57*O57)</f>
        <v/>
      </c>
      <c r="Q57" s="21">
        <f>IF(P57="","",IF(P57&gt;=15,"Elevado",IF(P57&gt;=6,"Médio","Baixo")))</f>
        <v/>
      </c>
    </row>
    <row r="58">
      <c r="M58" s="20">
        <f>IF($A58="","",_xlfn.MAXIFS(Monitoramento!$B$2:$B$200,Monitoramento!$A$2:$A$200,$A58))</f>
        <v/>
      </c>
      <c r="N58" s="20">
        <f>IF(OR($A58="",M58=0),"",SUMIFS(Monitoramento!$D$2:$D$200,Monitoramento!$A$2:$A$200,$A58,Monitoramento!$B$2:$B$200,M58))</f>
        <v/>
      </c>
      <c r="O58" s="20">
        <f>IF(OR($A58="",M58=0),"",SUMIFS(Monitoramento!$E$2:$E$200,Monitoramento!$A$2:$A$200,$A58,Monitoramento!$B$2:$B$200,M58))</f>
        <v/>
      </c>
      <c r="P58" s="20">
        <f>IF(N58="","",N58*O58)</f>
        <v/>
      </c>
      <c r="Q58" s="21">
        <f>IF(P58="","",IF(P58&gt;=15,"Elevado",IF(P58&gt;=6,"Médio","Baixo")))</f>
        <v/>
      </c>
    </row>
    <row r="59">
      <c r="M59" s="20">
        <f>IF($A59="","",_xlfn.MAXIFS(Monitoramento!$B$2:$B$200,Monitoramento!$A$2:$A$200,$A59))</f>
        <v/>
      </c>
      <c r="N59" s="20">
        <f>IF(OR($A59="",M59=0),"",SUMIFS(Monitoramento!$D$2:$D$200,Monitoramento!$A$2:$A$200,$A59,Monitoramento!$B$2:$B$200,M59))</f>
        <v/>
      </c>
      <c r="O59" s="20">
        <f>IF(OR($A59="",M59=0),"",SUMIFS(Monitoramento!$E$2:$E$200,Monitoramento!$A$2:$A$200,$A59,Monitoramento!$B$2:$B$200,M59))</f>
        <v/>
      </c>
      <c r="P59" s="20">
        <f>IF(N59="","",N59*O59)</f>
        <v/>
      </c>
      <c r="Q59" s="21">
        <f>IF(P59="","",IF(P59&gt;=15,"Elevado",IF(P59&gt;=6,"Médio","Baixo")))</f>
        <v/>
      </c>
    </row>
    <row r="60">
      <c r="M60" s="20">
        <f>IF($A60="","",_xlfn.MAXIFS(Monitoramento!$B$2:$B$200,Monitoramento!$A$2:$A$200,$A60))</f>
        <v/>
      </c>
      <c r="N60" s="20">
        <f>IF(OR($A60="",M60=0),"",SUMIFS(Monitoramento!$D$2:$D$200,Monitoramento!$A$2:$A$200,$A60,Monitoramento!$B$2:$B$200,M60))</f>
        <v/>
      </c>
      <c r="O60" s="20">
        <f>IF(OR($A60="",M60=0),"",SUMIFS(Monitoramento!$E$2:$E$200,Monitoramento!$A$2:$A$200,$A60,Monitoramento!$B$2:$B$200,M60))</f>
        <v/>
      </c>
      <c r="P60" s="20">
        <f>IF(N60="","",N60*O60)</f>
        <v/>
      </c>
      <c r="Q60" s="21">
        <f>IF(P60="","",IF(P60&gt;=15,"Elevado",IF(P60&gt;=6,"Médio","Baixo")))</f>
        <v/>
      </c>
    </row>
    <row r="61">
      <c r="M61" s="20">
        <f>IF($A61="","",_xlfn.MAXIFS(Monitoramento!$B$2:$B$200,Monitoramento!$A$2:$A$200,$A61))</f>
        <v/>
      </c>
      <c r="N61" s="20">
        <f>IF(OR($A61="",M61=0),"",SUMIFS(Monitoramento!$D$2:$D$200,Monitoramento!$A$2:$A$200,$A61,Monitoramento!$B$2:$B$200,M61))</f>
        <v/>
      </c>
      <c r="O61" s="20">
        <f>IF(OR($A61="",M61=0),"",SUMIFS(Monitoramento!$E$2:$E$200,Monitoramento!$A$2:$A$200,$A61,Monitoramento!$B$2:$B$200,M61))</f>
        <v/>
      </c>
      <c r="P61" s="20">
        <f>IF(N61="","",N61*O61)</f>
        <v/>
      </c>
      <c r="Q61" s="21">
        <f>IF(P61="","",IF(P61&gt;=15,"Elevado",IF(P61&gt;=6,"Médio","Baixo")))</f>
        <v/>
      </c>
    </row>
    <row r="62">
      <c r="M62" s="20">
        <f>IF($A62="","",_xlfn.MAXIFS(Monitoramento!$B$2:$B$200,Monitoramento!$A$2:$A$200,$A62))</f>
        <v/>
      </c>
      <c r="N62" s="20">
        <f>IF(OR($A62="",M62=0),"",SUMIFS(Monitoramento!$D$2:$D$200,Monitoramento!$A$2:$A$200,$A62,Monitoramento!$B$2:$B$200,M62))</f>
        <v/>
      </c>
      <c r="O62" s="20">
        <f>IF(OR($A62="",M62=0),"",SUMIFS(Monitoramento!$E$2:$E$200,Monitoramento!$A$2:$A$200,$A62,Monitoramento!$B$2:$B$200,M62))</f>
        <v/>
      </c>
      <c r="P62" s="20">
        <f>IF(N62="","",N62*O62)</f>
        <v/>
      </c>
      <c r="Q62" s="21">
        <f>IF(P62="","",IF(P62&gt;=15,"Elevado",IF(P62&gt;=6,"Médio","Baixo")))</f>
        <v/>
      </c>
    </row>
    <row r="63">
      <c r="M63" s="20">
        <f>IF($A63="","",_xlfn.MAXIFS(Monitoramento!$B$2:$B$200,Monitoramento!$A$2:$A$200,$A63))</f>
        <v/>
      </c>
      <c r="N63" s="20">
        <f>IF(OR($A63="",M63=0),"",SUMIFS(Monitoramento!$D$2:$D$200,Monitoramento!$A$2:$A$200,$A63,Monitoramento!$B$2:$B$200,M63))</f>
        <v/>
      </c>
      <c r="O63" s="20">
        <f>IF(OR($A63="",M63=0),"",SUMIFS(Monitoramento!$E$2:$E$200,Monitoramento!$A$2:$A$200,$A63,Monitoramento!$B$2:$B$200,M63))</f>
        <v/>
      </c>
      <c r="P63" s="20">
        <f>IF(N63="","",N63*O63)</f>
        <v/>
      </c>
      <c r="Q63" s="21">
        <f>IF(P63="","",IF(P63&gt;=15,"Elevado",IF(P63&gt;=6,"Médio","Baixo")))</f>
        <v/>
      </c>
    </row>
    <row r="64">
      <c r="M64" s="20">
        <f>IF($A64="","",_xlfn.MAXIFS(Monitoramento!$B$2:$B$200,Monitoramento!$A$2:$A$200,$A64))</f>
        <v/>
      </c>
      <c r="N64" s="20">
        <f>IF(OR($A64="",M64=0),"",SUMIFS(Monitoramento!$D$2:$D$200,Monitoramento!$A$2:$A$200,$A64,Monitoramento!$B$2:$B$200,M64))</f>
        <v/>
      </c>
      <c r="O64" s="20">
        <f>IF(OR($A64="",M64=0),"",SUMIFS(Monitoramento!$E$2:$E$200,Monitoramento!$A$2:$A$200,$A64,Monitoramento!$B$2:$B$200,M64))</f>
        <v/>
      </c>
      <c r="P64" s="20">
        <f>IF(N64="","",N64*O64)</f>
        <v/>
      </c>
      <c r="Q64" s="21">
        <f>IF(P64="","",IF(P64&gt;=15,"Elevado",IF(P64&gt;=6,"Médio","Baixo")))</f>
        <v/>
      </c>
    </row>
    <row r="65">
      <c r="M65" s="20">
        <f>IF($A65="","",_xlfn.MAXIFS(Monitoramento!$B$2:$B$200,Monitoramento!$A$2:$A$200,$A65))</f>
        <v/>
      </c>
      <c r="N65" s="20">
        <f>IF(OR($A65="",M65=0),"",SUMIFS(Monitoramento!$D$2:$D$200,Monitoramento!$A$2:$A$200,$A65,Monitoramento!$B$2:$B$200,M65))</f>
        <v/>
      </c>
      <c r="O65" s="20">
        <f>IF(OR($A65="",M65=0),"",SUMIFS(Monitoramento!$E$2:$E$200,Monitoramento!$A$2:$A$200,$A65,Monitoramento!$B$2:$B$200,M65))</f>
        <v/>
      </c>
      <c r="P65" s="20">
        <f>IF(N65="","",N65*O65)</f>
        <v/>
      </c>
      <c r="Q65" s="21">
        <f>IF(P65="","",IF(P65&gt;=15,"Elevado",IF(P65&gt;=6,"Médio","Baixo")))</f>
        <v/>
      </c>
    </row>
    <row r="66">
      <c r="M66" s="20">
        <f>IF($A66="","",_xlfn.MAXIFS(Monitoramento!$B$2:$B$200,Monitoramento!$A$2:$A$200,$A66))</f>
        <v/>
      </c>
      <c r="N66" s="20">
        <f>IF(OR($A66="",M66=0),"",SUMIFS(Monitoramento!$D$2:$D$200,Monitoramento!$A$2:$A$200,$A66,Monitoramento!$B$2:$B$200,M66))</f>
        <v/>
      </c>
      <c r="O66" s="20">
        <f>IF(OR($A66="",M66=0),"",SUMIFS(Monitoramento!$E$2:$E$200,Monitoramento!$A$2:$A$200,$A66,Monitoramento!$B$2:$B$200,M66))</f>
        <v/>
      </c>
      <c r="P66" s="20">
        <f>IF(N66="","",N66*O66)</f>
        <v/>
      </c>
      <c r="Q66" s="21">
        <f>IF(P66="","",IF(P66&gt;=15,"Elevado",IF(P66&gt;=6,"Médio","Baixo")))</f>
        <v/>
      </c>
    </row>
    <row r="67">
      <c r="M67" s="20">
        <f>IF($A67="","",_xlfn.MAXIFS(Monitoramento!$B$2:$B$200,Monitoramento!$A$2:$A$200,$A67))</f>
        <v/>
      </c>
      <c r="N67" s="20">
        <f>IF(OR($A67="",M67=0),"",SUMIFS(Monitoramento!$D$2:$D$200,Monitoramento!$A$2:$A$200,$A67,Monitoramento!$B$2:$B$200,M67))</f>
        <v/>
      </c>
      <c r="O67" s="20">
        <f>IF(OR($A67="",M67=0),"",SUMIFS(Monitoramento!$E$2:$E$200,Monitoramento!$A$2:$A$200,$A67,Monitoramento!$B$2:$B$200,M67))</f>
        <v/>
      </c>
      <c r="P67" s="20">
        <f>IF(N67="","",N67*O67)</f>
        <v/>
      </c>
      <c r="Q67" s="21">
        <f>IF(P67="","",IF(P67&gt;=15,"Elevado",IF(P67&gt;=6,"Médio","Baixo")))</f>
        <v/>
      </c>
    </row>
    <row r="68">
      <c r="M68" s="20">
        <f>IF($A68="","",_xlfn.MAXIFS(Monitoramento!$B$2:$B$200,Monitoramento!$A$2:$A$200,$A68))</f>
        <v/>
      </c>
      <c r="N68" s="20">
        <f>IF(OR($A68="",M68=0),"",SUMIFS(Monitoramento!$D$2:$D$200,Monitoramento!$A$2:$A$200,$A68,Monitoramento!$B$2:$B$200,M68))</f>
        <v/>
      </c>
      <c r="O68" s="20">
        <f>IF(OR($A68="",M68=0),"",SUMIFS(Monitoramento!$E$2:$E$200,Monitoramento!$A$2:$A$200,$A68,Monitoramento!$B$2:$B$200,M68))</f>
        <v/>
      </c>
      <c r="P68" s="20">
        <f>IF(N68="","",N68*O68)</f>
        <v/>
      </c>
      <c r="Q68" s="21">
        <f>IF(P68="","",IF(P68&gt;=15,"Elevado",IF(P68&gt;=6,"Médio","Baixo")))</f>
        <v/>
      </c>
    </row>
    <row r="69">
      <c r="M69" s="20">
        <f>IF($A69="","",_xlfn.MAXIFS(Monitoramento!$B$2:$B$200,Monitoramento!$A$2:$A$200,$A69))</f>
        <v/>
      </c>
      <c r="N69" s="20">
        <f>IF(OR($A69="",M69=0),"",SUMIFS(Monitoramento!$D$2:$D$200,Monitoramento!$A$2:$A$200,$A69,Monitoramento!$B$2:$B$200,M69))</f>
        <v/>
      </c>
      <c r="O69" s="20">
        <f>IF(OR($A69="",M69=0),"",SUMIFS(Monitoramento!$E$2:$E$200,Monitoramento!$A$2:$A$200,$A69,Monitoramento!$B$2:$B$200,M69))</f>
        <v/>
      </c>
      <c r="P69" s="20">
        <f>IF(N69="","",N69*O69)</f>
        <v/>
      </c>
      <c r="Q69" s="21">
        <f>IF(P69="","",IF(P69&gt;=15,"Elevado",IF(P69&gt;=6,"Médio","Baixo")))</f>
        <v/>
      </c>
    </row>
    <row r="70">
      <c r="M70" s="20">
        <f>IF($A70="","",_xlfn.MAXIFS(Monitoramento!$B$2:$B$200,Monitoramento!$A$2:$A$200,$A70))</f>
        <v/>
      </c>
      <c r="N70" s="20">
        <f>IF(OR($A70="",M70=0),"",SUMIFS(Monitoramento!$D$2:$D$200,Monitoramento!$A$2:$A$200,$A70,Monitoramento!$B$2:$B$200,M70))</f>
        <v/>
      </c>
      <c r="O70" s="20">
        <f>IF(OR($A70="",M70=0),"",SUMIFS(Monitoramento!$E$2:$E$200,Monitoramento!$A$2:$A$200,$A70,Monitoramento!$B$2:$B$200,M70))</f>
        <v/>
      </c>
      <c r="P70" s="20">
        <f>IF(N70="","",N70*O70)</f>
        <v/>
      </c>
      <c r="Q70" s="21">
        <f>IF(P70="","",IF(P70&gt;=15,"Elevado",IF(P70&gt;=6,"Médio","Baixo")))</f>
        <v/>
      </c>
    </row>
    <row r="71">
      <c r="M71" s="20">
        <f>IF($A71="","",_xlfn.MAXIFS(Monitoramento!$B$2:$B$200,Monitoramento!$A$2:$A$200,$A71))</f>
        <v/>
      </c>
      <c r="N71" s="20">
        <f>IF(OR($A71="",M71=0),"",SUMIFS(Monitoramento!$D$2:$D$200,Monitoramento!$A$2:$A$200,$A71,Monitoramento!$B$2:$B$200,M71))</f>
        <v/>
      </c>
      <c r="O71" s="20">
        <f>IF(OR($A71="",M71=0),"",SUMIFS(Monitoramento!$E$2:$E$200,Monitoramento!$A$2:$A$200,$A71,Monitoramento!$B$2:$B$200,M71))</f>
        <v/>
      </c>
      <c r="P71" s="20">
        <f>IF(N71="","",N71*O71)</f>
        <v/>
      </c>
      <c r="Q71" s="21">
        <f>IF(P71="","",IF(P71&gt;=15,"Elevado",IF(P71&gt;=6,"Médio","Baixo")))</f>
        <v/>
      </c>
    </row>
    <row r="72">
      <c r="M72" s="20">
        <f>IF($A72="","",_xlfn.MAXIFS(Monitoramento!$B$2:$B$200,Monitoramento!$A$2:$A$200,$A72))</f>
        <v/>
      </c>
      <c r="N72" s="20">
        <f>IF(OR($A72="",M72=0),"",SUMIFS(Monitoramento!$D$2:$D$200,Monitoramento!$A$2:$A$200,$A72,Monitoramento!$B$2:$B$200,M72))</f>
        <v/>
      </c>
      <c r="O72" s="20">
        <f>IF(OR($A72="",M72=0),"",SUMIFS(Monitoramento!$E$2:$E$200,Monitoramento!$A$2:$A$200,$A72,Monitoramento!$B$2:$B$200,M72))</f>
        <v/>
      </c>
      <c r="P72" s="20">
        <f>IF(N72="","",N72*O72)</f>
        <v/>
      </c>
      <c r="Q72" s="21">
        <f>IF(P72="","",IF(P72&gt;=15,"Elevado",IF(P72&gt;=6,"Médio","Baixo")))</f>
        <v/>
      </c>
    </row>
    <row r="73">
      <c r="M73" s="20">
        <f>IF($A73="","",_xlfn.MAXIFS(Monitoramento!$B$2:$B$200,Monitoramento!$A$2:$A$200,$A73))</f>
        <v/>
      </c>
      <c r="N73" s="20">
        <f>IF(OR($A73="",M73=0),"",SUMIFS(Monitoramento!$D$2:$D$200,Monitoramento!$A$2:$A$200,$A73,Monitoramento!$B$2:$B$200,M73))</f>
        <v/>
      </c>
      <c r="O73" s="20">
        <f>IF(OR($A73="",M73=0),"",SUMIFS(Monitoramento!$E$2:$E$200,Monitoramento!$A$2:$A$200,$A73,Monitoramento!$B$2:$B$200,M73))</f>
        <v/>
      </c>
      <c r="P73" s="20">
        <f>IF(N73="","",N73*O73)</f>
        <v/>
      </c>
      <c r="Q73" s="21">
        <f>IF(P73="","",IF(P73&gt;=15,"Elevado",IF(P73&gt;=6,"Médio","Baixo")))</f>
        <v/>
      </c>
    </row>
    <row r="74">
      <c r="M74" s="20">
        <f>IF($A74="","",_xlfn.MAXIFS(Monitoramento!$B$2:$B$200,Monitoramento!$A$2:$A$200,$A74))</f>
        <v/>
      </c>
      <c r="N74" s="20">
        <f>IF(OR($A74="",M74=0),"",SUMIFS(Monitoramento!$D$2:$D$200,Monitoramento!$A$2:$A$200,$A74,Monitoramento!$B$2:$B$200,M74))</f>
        <v/>
      </c>
      <c r="O74" s="20">
        <f>IF(OR($A74="",M74=0),"",SUMIFS(Monitoramento!$E$2:$E$200,Monitoramento!$A$2:$A$200,$A74,Monitoramento!$B$2:$B$200,M74))</f>
        <v/>
      </c>
      <c r="P74" s="20">
        <f>IF(N74="","",N74*O74)</f>
        <v/>
      </c>
      <c r="Q74" s="21">
        <f>IF(P74="","",IF(P74&gt;=15,"Elevado",IF(P74&gt;=6,"Médio","Baixo")))</f>
        <v/>
      </c>
    </row>
    <row r="75">
      <c r="M75" s="20">
        <f>IF($A75="","",_xlfn.MAXIFS(Monitoramento!$B$2:$B$200,Monitoramento!$A$2:$A$200,$A75))</f>
        <v/>
      </c>
      <c r="N75" s="20">
        <f>IF(OR($A75="",M75=0),"",SUMIFS(Monitoramento!$D$2:$D$200,Monitoramento!$A$2:$A$200,$A75,Monitoramento!$B$2:$B$200,M75))</f>
        <v/>
      </c>
      <c r="O75" s="20">
        <f>IF(OR($A75="",M75=0),"",SUMIFS(Monitoramento!$E$2:$E$200,Monitoramento!$A$2:$A$200,$A75,Monitoramento!$B$2:$B$200,M75))</f>
        <v/>
      </c>
      <c r="P75" s="20">
        <f>IF(N75="","",N75*O75)</f>
        <v/>
      </c>
      <c r="Q75" s="21">
        <f>IF(P75="","",IF(P75&gt;=15,"Elevado",IF(P75&gt;=6,"Médio","Baixo")))</f>
        <v/>
      </c>
    </row>
    <row r="76">
      <c r="M76" s="20">
        <f>IF($A76="","",_xlfn.MAXIFS(Monitoramento!$B$2:$B$200,Monitoramento!$A$2:$A$200,$A76))</f>
        <v/>
      </c>
      <c r="N76" s="20">
        <f>IF(OR($A76="",M76=0),"",SUMIFS(Monitoramento!$D$2:$D$200,Monitoramento!$A$2:$A$200,$A76,Monitoramento!$B$2:$B$200,M76))</f>
        <v/>
      </c>
      <c r="O76" s="20">
        <f>IF(OR($A76="",M76=0),"",SUMIFS(Monitoramento!$E$2:$E$200,Monitoramento!$A$2:$A$200,$A76,Monitoramento!$B$2:$B$200,M76))</f>
        <v/>
      </c>
      <c r="P76" s="20">
        <f>IF(N76="","",N76*O76)</f>
        <v/>
      </c>
      <c r="Q76" s="21">
        <f>IF(P76="","",IF(P76&gt;=15,"Elevado",IF(P76&gt;=6,"Médio","Baixo")))</f>
        <v/>
      </c>
    </row>
    <row r="77">
      <c r="M77" s="20">
        <f>IF($A77="","",_xlfn.MAXIFS(Monitoramento!$B$2:$B$200,Monitoramento!$A$2:$A$200,$A77))</f>
        <v/>
      </c>
      <c r="N77" s="20">
        <f>IF(OR($A77="",M77=0),"",SUMIFS(Monitoramento!$D$2:$D$200,Monitoramento!$A$2:$A$200,$A77,Monitoramento!$B$2:$B$200,M77))</f>
        <v/>
      </c>
      <c r="O77" s="20">
        <f>IF(OR($A77="",M77=0),"",SUMIFS(Monitoramento!$E$2:$E$200,Monitoramento!$A$2:$A$200,$A77,Monitoramento!$B$2:$B$200,M77))</f>
        <v/>
      </c>
      <c r="P77" s="20">
        <f>IF(N77="","",N77*O77)</f>
        <v/>
      </c>
      <c r="Q77" s="21">
        <f>IF(P77="","",IF(P77&gt;=15,"Elevado",IF(P77&gt;=6,"Médio","Baixo")))</f>
        <v/>
      </c>
    </row>
    <row r="78">
      <c r="M78" s="20">
        <f>IF($A78="","",_xlfn.MAXIFS(Monitoramento!$B$2:$B$200,Monitoramento!$A$2:$A$200,$A78))</f>
        <v/>
      </c>
      <c r="N78" s="20">
        <f>IF(OR($A78="",M78=0),"",SUMIFS(Monitoramento!$D$2:$D$200,Monitoramento!$A$2:$A$200,$A78,Monitoramento!$B$2:$B$200,M78))</f>
        <v/>
      </c>
      <c r="O78" s="20">
        <f>IF(OR($A78="",M78=0),"",SUMIFS(Monitoramento!$E$2:$E$200,Monitoramento!$A$2:$A$200,$A78,Monitoramento!$B$2:$B$200,M78))</f>
        <v/>
      </c>
      <c r="P78" s="20">
        <f>IF(N78="","",N78*O78)</f>
        <v/>
      </c>
      <c r="Q78" s="21">
        <f>IF(P78="","",IF(P78&gt;=15,"Elevado",IF(P78&gt;=6,"Médio","Baixo")))</f>
        <v/>
      </c>
    </row>
    <row r="79">
      <c r="M79" s="20">
        <f>IF($A79="","",_xlfn.MAXIFS(Monitoramento!$B$2:$B$200,Monitoramento!$A$2:$A$200,$A79))</f>
        <v/>
      </c>
      <c r="N79" s="20">
        <f>IF(OR($A79="",M79=0),"",SUMIFS(Monitoramento!$D$2:$D$200,Monitoramento!$A$2:$A$200,$A79,Monitoramento!$B$2:$B$200,M79))</f>
        <v/>
      </c>
      <c r="O79" s="20">
        <f>IF(OR($A79="",M79=0),"",SUMIFS(Monitoramento!$E$2:$E$200,Monitoramento!$A$2:$A$200,$A79,Monitoramento!$B$2:$B$200,M79))</f>
        <v/>
      </c>
      <c r="P79" s="20">
        <f>IF(N79="","",N79*O79)</f>
        <v/>
      </c>
      <c r="Q79" s="21">
        <f>IF(P79="","",IF(P79&gt;=15,"Elevado",IF(P79&gt;=6,"Médio","Baixo")))</f>
        <v/>
      </c>
    </row>
    <row r="80">
      <c r="M80" s="20">
        <f>IF($A80="","",_xlfn.MAXIFS(Monitoramento!$B$2:$B$200,Monitoramento!$A$2:$A$200,$A80))</f>
        <v/>
      </c>
      <c r="N80" s="20">
        <f>IF(OR($A80="",M80=0),"",SUMIFS(Monitoramento!$D$2:$D$200,Monitoramento!$A$2:$A$200,$A80,Monitoramento!$B$2:$B$200,M80))</f>
        <v/>
      </c>
      <c r="O80" s="20">
        <f>IF(OR($A80="",M80=0),"",SUMIFS(Monitoramento!$E$2:$E$200,Monitoramento!$A$2:$A$200,$A80,Monitoramento!$B$2:$B$200,M80))</f>
        <v/>
      </c>
      <c r="P80" s="20">
        <f>IF(N80="","",N80*O80)</f>
        <v/>
      </c>
      <c r="Q80" s="21">
        <f>IF(P80="","",IF(P80&gt;=15,"Elevado",IF(P80&gt;=6,"Médio","Baixo")))</f>
        <v/>
      </c>
    </row>
    <row r="81">
      <c r="M81" s="20">
        <f>IF($A81="","",_xlfn.MAXIFS(Monitoramento!$B$2:$B$200,Monitoramento!$A$2:$A$200,$A81))</f>
        <v/>
      </c>
      <c r="N81" s="20">
        <f>IF(OR($A81="",M81=0),"",SUMIFS(Monitoramento!$D$2:$D$200,Monitoramento!$A$2:$A$200,$A81,Monitoramento!$B$2:$B$200,M81))</f>
        <v/>
      </c>
      <c r="O81" s="20">
        <f>IF(OR($A81="",M81=0),"",SUMIFS(Monitoramento!$E$2:$E$200,Monitoramento!$A$2:$A$200,$A81,Monitoramento!$B$2:$B$200,M81))</f>
        <v/>
      </c>
      <c r="P81" s="20">
        <f>IF(N81="","",N81*O81)</f>
        <v/>
      </c>
      <c r="Q81" s="21">
        <f>IF(P81="","",IF(P81&gt;=15,"Elevado",IF(P81&gt;=6,"Médio","Baixo")))</f>
        <v/>
      </c>
    </row>
    <row r="82">
      <c r="M82" s="20">
        <f>IF($A82="","",_xlfn.MAXIFS(Monitoramento!$B$2:$B$200,Monitoramento!$A$2:$A$200,$A82))</f>
        <v/>
      </c>
      <c r="N82" s="20">
        <f>IF(OR($A82="",M82=0),"",SUMIFS(Monitoramento!$D$2:$D$200,Monitoramento!$A$2:$A$200,$A82,Monitoramento!$B$2:$B$200,M82))</f>
        <v/>
      </c>
      <c r="O82" s="20">
        <f>IF(OR($A82="",M82=0),"",SUMIFS(Monitoramento!$E$2:$E$200,Monitoramento!$A$2:$A$200,$A82,Monitoramento!$B$2:$B$200,M82))</f>
        <v/>
      </c>
      <c r="P82" s="20">
        <f>IF(N82="","",N82*O82)</f>
        <v/>
      </c>
      <c r="Q82" s="21">
        <f>IF(P82="","",IF(P82&gt;=15,"Elevado",IF(P82&gt;=6,"Médio","Baixo")))</f>
        <v/>
      </c>
    </row>
    <row r="83">
      <c r="M83" s="20">
        <f>IF($A83="","",_xlfn.MAXIFS(Monitoramento!$B$2:$B$200,Monitoramento!$A$2:$A$200,$A83))</f>
        <v/>
      </c>
      <c r="N83" s="20">
        <f>IF(OR($A83="",M83=0),"",SUMIFS(Monitoramento!$D$2:$D$200,Monitoramento!$A$2:$A$200,$A83,Monitoramento!$B$2:$B$200,M83))</f>
        <v/>
      </c>
      <c r="O83" s="20">
        <f>IF(OR($A83="",M83=0),"",SUMIFS(Monitoramento!$E$2:$E$200,Monitoramento!$A$2:$A$200,$A83,Monitoramento!$B$2:$B$200,M83))</f>
        <v/>
      </c>
      <c r="P83" s="20">
        <f>IF(N83="","",N83*O83)</f>
        <v/>
      </c>
      <c r="Q83" s="21">
        <f>IF(P83="","",IF(P83&gt;=15,"Elevado",IF(P83&gt;=6,"Médio","Baixo")))</f>
        <v/>
      </c>
    </row>
    <row r="84">
      <c r="M84" s="20">
        <f>IF($A84="","",_xlfn.MAXIFS(Monitoramento!$B$2:$B$200,Monitoramento!$A$2:$A$200,$A84))</f>
        <v/>
      </c>
      <c r="N84" s="20">
        <f>IF(OR($A84="",M84=0),"",SUMIFS(Monitoramento!$D$2:$D$200,Monitoramento!$A$2:$A$200,$A84,Monitoramento!$B$2:$B$200,M84))</f>
        <v/>
      </c>
      <c r="O84" s="20">
        <f>IF(OR($A84="",M84=0),"",SUMIFS(Monitoramento!$E$2:$E$200,Monitoramento!$A$2:$A$200,$A84,Monitoramento!$B$2:$B$200,M84))</f>
        <v/>
      </c>
      <c r="P84" s="20">
        <f>IF(N84="","",N84*O84)</f>
        <v/>
      </c>
      <c r="Q84" s="21">
        <f>IF(P84="","",IF(P84&gt;=15,"Elevado",IF(P84&gt;=6,"Médio","Baixo")))</f>
        <v/>
      </c>
    </row>
    <row r="85">
      <c r="M85" s="20">
        <f>IF($A85="","",_xlfn.MAXIFS(Monitoramento!$B$2:$B$200,Monitoramento!$A$2:$A$200,$A85))</f>
        <v/>
      </c>
      <c r="N85" s="20">
        <f>IF(OR($A85="",M85=0),"",SUMIFS(Monitoramento!$D$2:$D$200,Monitoramento!$A$2:$A$200,$A85,Monitoramento!$B$2:$B$200,M85))</f>
        <v/>
      </c>
      <c r="O85" s="20">
        <f>IF(OR($A85="",M85=0),"",SUMIFS(Monitoramento!$E$2:$E$200,Monitoramento!$A$2:$A$200,$A85,Monitoramento!$B$2:$B$200,M85))</f>
        <v/>
      </c>
      <c r="P85" s="20">
        <f>IF(N85="","",N85*O85)</f>
        <v/>
      </c>
      <c r="Q85" s="21">
        <f>IF(P85="","",IF(P85&gt;=15,"Elevado",IF(P85&gt;=6,"Médio","Baixo")))</f>
        <v/>
      </c>
    </row>
    <row r="86">
      <c r="M86" s="20">
        <f>IF($A86="","",_xlfn.MAXIFS(Monitoramento!$B$2:$B$200,Monitoramento!$A$2:$A$200,$A86))</f>
        <v/>
      </c>
      <c r="N86" s="20">
        <f>IF(OR($A86="",M86=0),"",SUMIFS(Monitoramento!$D$2:$D$200,Monitoramento!$A$2:$A$200,$A86,Monitoramento!$B$2:$B$200,M86))</f>
        <v/>
      </c>
      <c r="O86" s="20">
        <f>IF(OR($A86="",M86=0),"",SUMIFS(Monitoramento!$E$2:$E$200,Monitoramento!$A$2:$A$200,$A86,Monitoramento!$B$2:$B$200,M86))</f>
        <v/>
      </c>
      <c r="P86" s="20">
        <f>IF(N86="","",N86*O86)</f>
        <v/>
      </c>
      <c r="Q86" s="21">
        <f>IF(P86="","",IF(P86&gt;=15,"Elevado",IF(P86&gt;=6,"Médio","Baixo")))</f>
        <v/>
      </c>
    </row>
    <row r="87">
      <c r="M87" s="20">
        <f>IF($A87="","",_xlfn.MAXIFS(Monitoramento!$B$2:$B$200,Monitoramento!$A$2:$A$200,$A87))</f>
        <v/>
      </c>
      <c r="N87" s="20">
        <f>IF(OR($A87="",M87=0),"",SUMIFS(Monitoramento!$D$2:$D$200,Monitoramento!$A$2:$A$200,$A87,Monitoramento!$B$2:$B$200,M87))</f>
        <v/>
      </c>
      <c r="O87" s="20">
        <f>IF(OR($A87="",M87=0),"",SUMIFS(Monitoramento!$E$2:$E$200,Monitoramento!$A$2:$A$200,$A87,Monitoramento!$B$2:$B$200,M87))</f>
        <v/>
      </c>
      <c r="P87" s="20">
        <f>IF(N87="","",N87*O87)</f>
        <v/>
      </c>
      <c r="Q87" s="21">
        <f>IF(P87="","",IF(P87&gt;=15,"Elevado",IF(P87&gt;=6,"Médio","Baixo")))</f>
        <v/>
      </c>
    </row>
    <row r="88">
      <c r="M88" s="20">
        <f>IF($A88="","",_xlfn.MAXIFS(Monitoramento!$B$2:$B$200,Monitoramento!$A$2:$A$200,$A88))</f>
        <v/>
      </c>
      <c r="N88" s="20">
        <f>IF(OR($A88="",M88=0),"",SUMIFS(Monitoramento!$D$2:$D$200,Monitoramento!$A$2:$A$200,$A88,Monitoramento!$B$2:$B$200,M88))</f>
        <v/>
      </c>
      <c r="O88" s="20">
        <f>IF(OR($A88="",M88=0),"",SUMIFS(Monitoramento!$E$2:$E$200,Monitoramento!$A$2:$A$200,$A88,Monitoramento!$B$2:$B$200,M88))</f>
        <v/>
      </c>
      <c r="P88" s="20">
        <f>IF(N88="","",N88*O88)</f>
        <v/>
      </c>
      <c r="Q88" s="21">
        <f>IF(P88="","",IF(P88&gt;=15,"Elevado",IF(P88&gt;=6,"Médio","Baixo")))</f>
        <v/>
      </c>
    </row>
    <row r="89">
      <c r="M89" s="20">
        <f>IF($A89="","",_xlfn.MAXIFS(Monitoramento!$B$2:$B$200,Monitoramento!$A$2:$A$200,$A89))</f>
        <v/>
      </c>
      <c r="N89" s="20">
        <f>IF(OR($A89="",M89=0),"",SUMIFS(Monitoramento!$D$2:$D$200,Monitoramento!$A$2:$A$200,$A89,Monitoramento!$B$2:$B$200,M89))</f>
        <v/>
      </c>
      <c r="O89" s="20">
        <f>IF(OR($A89="",M89=0),"",SUMIFS(Monitoramento!$E$2:$E$200,Monitoramento!$A$2:$A$200,$A89,Monitoramento!$B$2:$B$200,M89))</f>
        <v/>
      </c>
      <c r="P89" s="20">
        <f>IF(N89="","",N89*O89)</f>
        <v/>
      </c>
      <c r="Q89" s="21">
        <f>IF(P89="","",IF(P89&gt;=15,"Elevado",IF(P89&gt;=6,"Médio","Baixo")))</f>
        <v/>
      </c>
    </row>
    <row r="90">
      <c r="M90" s="20">
        <f>IF($A90="","",_xlfn.MAXIFS(Monitoramento!$B$2:$B$200,Monitoramento!$A$2:$A$200,$A90))</f>
        <v/>
      </c>
      <c r="N90" s="20">
        <f>IF(OR($A90="",M90=0),"",SUMIFS(Monitoramento!$D$2:$D$200,Monitoramento!$A$2:$A$200,$A90,Monitoramento!$B$2:$B$200,M90))</f>
        <v/>
      </c>
      <c r="O90" s="20">
        <f>IF(OR($A90="",M90=0),"",SUMIFS(Monitoramento!$E$2:$E$200,Monitoramento!$A$2:$A$200,$A90,Monitoramento!$B$2:$B$200,M90))</f>
        <v/>
      </c>
      <c r="P90" s="20">
        <f>IF(N90="","",N90*O90)</f>
        <v/>
      </c>
      <c r="Q90" s="21">
        <f>IF(P90="","",IF(P90&gt;=15,"Elevado",IF(P90&gt;=6,"Médio","Baixo")))</f>
        <v/>
      </c>
    </row>
    <row r="91">
      <c r="M91" s="20">
        <f>IF($A91="","",_xlfn.MAXIFS(Monitoramento!$B$2:$B$200,Monitoramento!$A$2:$A$200,$A91))</f>
        <v/>
      </c>
      <c r="N91" s="20">
        <f>IF(OR($A91="",M91=0),"",SUMIFS(Monitoramento!$D$2:$D$200,Monitoramento!$A$2:$A$200,$A91,Monitoramento!$B$2:$B$200,M91))</f>
        <v/>
      </c>
      <c r="O91" s="20">
        <f>IF(OR($A91="",M91=0),"",SUMIFS(Monitoramento!$E$2:$E$200,Monitoramento!$A$2:$A$200,$A91,Monitoramento!$B$2:$B$200,M91))</f>
        <v/>
      </c>
      <c r="P91" s="20">
        <f>IF(N91="","",N91*O91)</f>
        <v/>
      </c>
      <c r="Q91" s="21">
        <f>IF(P91="","",IF(P91&gt;=15,"Elevado",IF(P91&gt;=6,"Médio","Baixo")))</f>
        <v/>
      </c>
    </row>
    <row r="92">
      <c r="M92" s="20">
        <f>IF($A92="","",_xlfn.MAXIFS(Monitoramento!$B$2:$B$200,Monitoramento!$A$2:$A$200,$A92))</f>
        <v/>
      </c>
      <c r="N92" s="20">
        <f>IF(OR($A92="",M92=0),"",SUMIFS(Monitoramento!$D$2:$D$200,Monitoramento!$A$2:$A$200,$A92,Monitoramento!$B$2:$B$200,M92))</f>
        <v/>
      </c>
      <c r="O92" s="20">
        <f>IF(OR($A92="",M92=0),"",SUMIFS(Monitoramento!$E$2:$E$200,Monitoramento!$A$2:$A$200,$A92,Monitoramento!$B$2:$B$200,M92))</f>
        <v/>
      </c>
      <c r="P92" s="20">
        <f>IF(N92="","",N92*O92)</f>
        <v/>
      </c>
      <c r="Q92" s="21">
        <f>IF(P92="","",IF(P92&gt;=15,"Elevado",IF(P92&gt;=6,"Médio","Baixo")))</f>
        <v/>
      </c>
    </row>
    <row r="93">
      <c r="M93" s="20">
        <f>IF($A93="","",_xlfn.MAXIFS(Monitoramento!$B$2:$B$200,Monitoramento!$A$2:$A$200,$A93))</f>
        <v/>
      </c>
      <c r="N93" s="20">
        <f>IF(OR($A93="",M93=0),"",SUMIFS(Monitoramento!$D$2:$D$200,Monitoramento!$A$2:$A$200,$A93,Monitoramento!$B$2:$B$200,M93))</f>
        <v/>
      </c>
      <c r="O93" s="20">
        <f>IF(OR($A93="",M93=0),"",SUMIFS(Monitoramento!$E$2:$E$200,Monitoramento!$A$2:$A$200,$A93,Monitoramento!$B$2:$B$200,M93))</f>
        <v/>
      </c>
      <c r="P93" s="20">
        <f>IF(N93="","",N93*O93)</f>
        <v/>
      </c>
      <c r="Q93" s="21">
        <f>IF(P93="","",IF(P93&gt;=15,"Elevado",IF(P93&gt;=6,"Médio","Baixo")))</f>
        <v/>
      </c>
    </row>
    <row r="94">
      <c r="M94" s="20">
        <f>IF($A94="","",_xlfn.MAXIFS(Monitoramento!$B$2:$B$200,Monitoramento!$A$2:$A$200,$A94))</f>
        <v/>
      </c>
      <c r="N94" s="20">
        <f>IF(OR($A94="",M94=0),"",SUMIFS(Monitoramento!$D$2:$D$200,Monitoramento!$A$2:$A$200,$A94,Monitoramento!$B$2:$B$200,M94))</f>
        <v/>
      </c>
      <c r="O94" s="20">
        <f>IF(OR($A94="",M94=0),"",SUMIFS(Monitoramento!$E$2:$E$200,Monitoramento!$A$2:$A$200,$A94,Monitoramento!$B$2:$B$200,M94))</f>
        <v/>
      </c>
      <c r="P94" s="20">
        <f>IF(N94="","",N94*O94)</f>
        <v/>
      </c>
      <c r="Q94" s="21">
        <f>IF(P94="","",IF(P94&gt;=15,"Elevado",IF(P94&gt;=6,"Médio","Baixo")))</f>
        <v/>
      </c>
    </row>
    <row r="95">
      <c r="M95" s="20">
        <f>IF($A95="","",_xlfn.MAXIFS(Monitoramento!$B$2:$B$200,Monitoramento!$A$2:$A$200,$A95))</f>
        <v/>
      </c>
      <c r="N95" s="20">
        <f>IF(OR($A95="",M95=0),"",SUMIFS(Monitoramento!$D$2:$D$200,Monitoramento!$A$2:$A$200,$A95,Monitoramento!$B$2:$B$200,M95))</f>
        <v/>
      </c>
      <c r="O95" s="20">
        <f>IF(OR($A95="",M95=0),"",SUMIFS(Monitoramento!$E$2:$E$200,Monitoramento!$A$2:$A$200,$A95,Monitoramento!$B$2:$B$200,M95))</f>
        <v/>
      </c>
      <c r="P95" s="20">
        <f>IF(N95="","",N95*O95)</f>
        <v/>
      </c>
      <c r="Q95" s="21">
        <f>IF(P95="","",IF(P95&gt;=15,"Elevado",IF(P95&gt;=6,"Médio","Baixo")))</f>
        <v/>
      </c>
    </row>
    <row r="96">
      <c r="M96" s="20">
        <f>IF($A96="","",_xlfn.MAXIFS(Monitoramento!$B$2:$B$200,Monitoramento!$A$2:$A$200,$A96))</f>
        <v/>
      </c>
      <c r="N96" s="20">
        <f>IF(OR($A96="",M96=0),"",SUMIFS(Monitoramento!$D$2:$D$200,Monitoramento!$A$2:$A$200,$A96,Monitoramento!$B$2:$B$200,M96))</f>
        <v/>
      </c>
      <c r="O96" s="20">
        <f>IF(OR($A96="",M96=0),"",SUMIFS(Monitoramento!$E$2:$E$200,Monitoramento!$A$2:$A$200,$A96,Monitoramento!$B$2:$B$200,M96))</f>
        <v/>
      </c>
      <c r="P96" s="20">
        <f>IF(N96="","",N96*O96)</f>
        <v/>
      </c>
      <c r="Q96" s="21">
        <f>IF(P96="","",IF(P96&gt;=15,"Elevado",IF(P96&gt;=6,"Médio","Baixo")))</f>
        <v/>
      </c>
    </row>
    <row r="97">
      <c r="M97" s="20">
        <f>IF($A97="","",_xlfn.MAXIFS(Monitoramento!$B$2:$B$200,Monitoramento!$A$2:$A$200,$A97))</f>
        <v/>
      </c>
      <c r="N97" s="20">
        <f>IF(OR($A97="",M97=0),"",SUMIFS(Monitoramento!$D$2:$D$200,Monitoramento!$A$2:$A$200,$A97,Monitoramento!$B$2:$B$200,M97))</f>
        <v/>
      </c>
      <c r="O97" s="20">
        <f>IF(OR($A97="",M97=0),"",SUMIFS(Monitoramento!$E$2:$E$200,Monitoramento!$A$2:$A$200,$A97,Monitoramento!$B$2:$B$200,M97))</f>
        <v/>
      </c>
      <c r="P97" s="20">
        <f>IF(N97="","",N97*O97)</f>
        <v/>
      </c>
      <c r="Q97" s="21">
        <f>IF(P97="","",IF(P97&gt;=15,"Elevado",IF(P97&gt;=6,"Médio","Baixo")))</f>
        <v/>
      </c>
    </row>
    <row r="98">
      <c r="M98" s="20">
        <f>IF($A98="","",_xlfn.MAXIFS(Monitoramento!$B$2:$B$200,Monitoramento!$A$2:$A$200,$A98))</f>
        <v/>
      </c>
      <c r="N98" s="20">
        <f>IF(OR($A98="",M98=0),"",SUMIFS(Monitoramento!$D$2:$D$200,Monitoramento!$A$2:$A$200,$A98,Monitoramento!$B$2:$B$200,M98))</f>
        <v/>
      </c>
      <c r="O98" s="20">
        <f>IF(OR($A98="",M98=0),"",SUMIFS(Monitoramento!$E$2:$E$200,Monitoramento!$A$2:$A$200,$A98,Monitoramento!$B$2:$B$200,M98))</f>
        <v/>
      </c>
      <c r="P98" s="20">
        <f>IF(N98="","",N98*O98)</f>
        <v/>
      </c>
      <c r="Q98" s="21">
        <f>IF(P98="","",IF(P98&gt;=15,"Elevado",IF(P98&gt;=6,"Médio","Baixo")))</f>
        <v/>
      </c>
    </row>
    <row r="99">
      <c r="M99" s="20">
        <f>IF($A99="","",_xlfn.MAXIFS(Monitoramento!$B$2:$B$200,Monitoramento!$A$2:$A$200,$A99))</f>
        <v/>
      </c>
      <c r="N99" s="20">
        <f>IF(OR($A99="",M99=0),"",SUMIFS(Monitoramento!$D$2:$D$200,Monitoramento!$A$2:$A$200,$A99,Monitoramento!$B$2:$B$200,M99))</f>
        <v/>
      </c>
      <c r="O99" s="20">
        <f>IF(OR($A99="",M99=0),"",SUMIFS(Monitoramento!$E$2:$E$200,Monitoramento!$A$2:$A$200,$A99,Monitoramento!$B$2:$B$200,M99))</f>
        <v/>
      </c>
      <c r="P99" s="20">
        <f>IF(N99="","",N99*O99)</f>
        <v/>
      </c>
      <c r="Q99" s="21">
        <f>IF(P99="","",IF(P99&gt;=15,"Elevado",IF(P99&gt;=6,"Médio","Baixo")))</f>
        <v/>
      </c>
    </row>
    <row r="100">
      <c r="M100" s="20">
        <f>IF($A100="","",_xlfn.MAXIFS(Monitoramento!$B$2:$B$200,Monitoramento!$A$2:$A$200,$A100))</f>
        <v/>
      </c>
      <c r="N100" s="20">
        <f>IF(OR($A100="",M100=0),"",SUMIFS(Monitoramento!$D$2:$D$200,Monitoramento!$A$2:$A$200,$A100,Monitoramento!$B$2:$B$200,M100))</f>
        <v/>
      </c>
      <c r="O100" s="20">
        <f>IF(OR($A100="",M100=0),"",SUMIFS(Monitoramento!$E$2:$E$200,Monitoramento!$A$2:$A$200,$A100,Monitoramento!$B$2:$B$200,M100))</f>
        <v/>
      </c>
      <c r="P100" s="20">
        <f>IF(N100="","",N100*O100)</f>
        <v/>
      </c>
      <c r="Q100" s="21">
        <f>IF(P100="","",IF(P100&gt;=15,"Elevado",IF(P100&gt;=6,"Médio","Baixo")))</f>
        <v/>
      </c>
    </row>
    <row r="101">
      <c r="M101" s="20">
        <f>IF($A101="","",_xlfn.MAXIFS(Monitoramento!$B$2:$B$200,Monitoramento!$A$2:$A$200,$A101))</f>
        <v/>
      </c>
      <c r="N101" s="20">
        <f>IF(OR($A101="",M101=0),"",SUMIFS(Monitoramento!$D$2:$D$200,Monitoramento!$A$2:$A$200,$A101,Monitoramento!$B$2:$B$200,M101))</f>
        <v/>
      </c>
      <c r="O101" s="20">
        <f>IF(OR($A101="",M101=0),"",SUMIFS(Monitoramento!$E$2:$E$200,Monitoramento!$A$2:$A$200,$A101,Monitoramento!$B$2:$B$200,M101))</f>
        <v/>
      </c>
      <c r="P101" s="20">
        <f>IF(N101="","",N101*O101)</f>
        <v/>
      </c>
      <c r="Q101" s="21">
        <f>IF(P101="","",IF(P101&gt;=15,"Elevado",IF(P101&gt;=6,"Médio","Baixo")))</f>
        <v/>
      </c>
    </row>
    <row r="102">
      <c r="M102" s="20">
        <f>IF($A102="","",_xlfn.MAXIFS(Monitoramento!$B$2:$B$200,Monitoramento!$A$2:$A$200,$A102))</f>
        <v/>
      </c>
      <c r="N102" s="20">
        <f>IF(OR($A102="",M102=0),"",SUMIFS(Monitoramento!$D$2:$D$200,Monitoramento!$A$2:$A$200,$A102,Monitoramento!$B$2:$B$200,M102))</f>
        <v/>
      </c>
      <c r="O102" s="20">
        <f>IF(OR($A102="",M102=0),"",SUMIFS(Monitoramento!$E$2:$E$200,Monitoramento!$A$2:$A$200,$A102,Monitoramento!$B$2:$B$200,M102))</f>
        <v/>
      </c>
      <c r="P102" s="20">
        <f>IF(N102="","",N102*O102)</f>
        <v/>
      </c>
      <c r="Q102" s="21">
        <f>IF(P102="","",IF(P102&gt;=15,"Elevado",IF(P102&gt;=6,"Médio","Baixo")))</f>
        <v/>
      </c>
    </row>
    <row r="103">
      <c r="M103" s="20">
        <f>IF($A103="","",_xlfn.MAXIFS(Monitoramento!$B$2:$B$200,Monitoramento!$A$2:$A$200,$A103))</f>
        <v/>
      </c>
      <c r="N103" s="20">
        <f>IF(OR($A103="",M103=0),"",SUMIFS(Monitoramento!$D$2:$D$200,Monitoramento!$A$2:$A$200,$A103,Monitoramento!$B$2:$B$200,M103))</f>
        <v/>
      </c>
      <c r="O103" s="20">
        <f>IF(OR($A103="",M103=0),"",SUMIFS(Monitoramento!$E$2:$E$200,Monitoramento!$A$2:$A$200,$A103,Monitoramento!$B$2:$B$200,M103))</f>
        <v/>
      </c>
      <c r="P103" s="20">
        <f>IF(N103="","",N103*O103)</f>
        <v/>
      </c>
      <c r="Q103" s="21">
        <f>IF(P103="","",IF(P103&gt;=15,"Elevado",IF(P103&gt;=6,"Médio","Baixo")))</f>
        <v/>
      </c>
    </row>
    <row r="104">
      <c r="M104" s="20">
        <f>IF($A104="","",_xlfn.MAXIFS(Monitoramento!$B$2:$B$200,Monitoramento!$A$2:$A$200,$A104))</f>
        <v/>
      </c>
      <c r="N104" s="20">
        <f>IF(OR($A104="",M104=0),"",SUMIFS(Monitoramento!$D$2:$D$200,Monitoramento!$A$2:$A$200,$A104,Monitoramento!$B$2:$B$200,M104))</f>
        <v/>
      </c>
      <c r="O104" s="20">
        <f>IF(OR($A104="",M104=0),"",SUMIFS(Monitoramento!$E$2:$E$200,Monitoramento!$A$2:$A$200,$A104,Monitoramento!$B$2:$B$200,M104))</f>
        <v/>
      </c>
      <c r="P104" s="20">
        <f>IF(N104="","",N104*O104)</f>
        <v/>
      </c>
      <c r="Q104" s="21">
        <f>IF(P104="","",IF(P104&gt;=15,"Elevado",IF(P104&gt;=6,"Médio","Baixo")))</f>
        <v/>
      </c>
    </row>
    <row r="105">
      <c r="M105" s="20">
        <f>IF($A105="","",_xlfn.MAXIFS(Monitoramento!$B$2:$B$200,Monitoramento!$A$2:$A$200,$A105))</f>
        <v/>
      </c>
      <c r="N105" s="20">
        <f>IF(OR($A105="",M105=0),"",SUMIFS(Monitoramento!$D$2:$D$200,Monitoramento!$A$2:$A$200,$A105,Monitoramento!$B$2:$B$200,M105))</f>
        <v/>
      </c>
      <c r="O105" s="20">
        <f>IF(OR($A105="",M105=0),"",SUMIFS(Monitoramento!$E$2:$E$200,Monitoramento!$A$2:$A$200,$A105,Monitoramento!$B$2:$B$200,M105))</f>
        <v/>
      </c>
      <c r="P105" s="20">
        <f>IF(N105="","",N105*O105)</f>
        <v/>
      </c>
      <c r="Q105" s="21">
        <f>IF(P105="","",IF(P105&gt;=15,"Elevado",IF(P105&gt;=6,"Médio","Baixo")))</f>
        <v/>
      </c>
    </row>
    <row r="106">
      <c r="M106" s="20">
        <f>IF($A106="","",_xlfn.MAXIFS(Monitoramento!$B$2:$B$200,Monitoramento!$A$2:$A$200,$A106))</f>
        <v/>
      </c>
      <c r="N106" s="20">
        <f>IF(OR($A106="",M106=0),"",SUMIFS(Monitoramento!$D$2:$D$200,Monitoramento!$A$2:$A$200,$A106,Monitoramento!$B$2:$B$200,M106))</f>
        <v/>
      </c>
      <c r="O106" s="20">
        <f>IF(OR($A106="",M106=0),"",SUMIFS(Monitoramento!$E$2:$E$200,Monitoramento!$A$2:$A$200,$A106,Monitoramento!$B$2:$B$200,M106))</f>
        <v/>
      </c>
      <c r="P106" s="20">
        <f>IF(N106="","",N106*O106)</f>
        <v/>
      </c>
      <c r="Q106" s="21">
        <f>IF(P106="","",IF(P106&gt;=15,"Elevado",IF(P106&gt;=6,"Médio","Baixo")))</f>
        <v/>
      </c>
    </row>
    <row r="107">
      <c r="M107" s="20">
        <f>IF($A107="","",_xlfn.MAXIFS(Monitoramento!$B$2:$B$200,Monitoramento!$A$2:$A$200,$A107))</f>
        <v/>
      </c>
      <c r="N107" s="20">
        <f>IF(OR($A107="",M107=0),"",SUMIFS(Monitoramento!$D$2:$D$200,Monitoramento!$A$2:$A$200,$A107,Monitoramento!$B$2:$B$200,M107))</f>
        <v/>
      </c>
      <c r="O107" s="20">
        <f>IF(OR($A107="",M107=0),"",SUMIFS(Monitoramento!$E$2:$E$200,Monitoramento!$A$2:$A$200,$A107,Monitoramento!$B$2:$B$200,M107))</f>
        <v/>
      </c>
      <c r="P107" s="20">
        <f>IF(N107="","",N107*O107)</f>
        <v/>
      </c>
      <c r="Q107" s="21">
        <f>IF(P107="","",IF(P107&gt;=15,"Elevado",IF(P107&gt;=6,"Médio","Baixo")))</f>
        <v/>
      </c>
    </row>
    <row r="108">
      <c r="M108" s="20">
        <f>IF($A108="","",_xlfn.MAXIFS(Monitoramento!$B$2:$B$200,Monitoramento!$A$2:$A$200,$A108))</f>
        <v/>
      </c>
      <c r="N108" s="20">
        <f>IF(OR($A108="",M108=0),"",SUMIFS(Monitoramento!$D$2:$D$200,Monitoramento!$A$2:$A$200,$A108,Monitoramento!$B$2:$B$200,M108))</f>
        <v/>
      </c>
      <c r="O108" s="20">
        <f>IF(OR($A108="",M108=0),"",SUMIFS(Monitoramento!$E$2:$E$200,Monitoramento!$A$2:$A$200,$A108,Monitoramento!$B$2:$B$200,M108))</f>
        <v/>
      </c>
      <c r="P108" s="20">
        <f>IF(N108="","",N108*O108)</f>
        <v/>
      </c>
      <c r="Q108" s="21">
        <f>IF(P108="","",IF(P108&gt;=15,"Elevado",IF(P108&gt;=6,"Médio","Baixo")))</f>
        <v/>
      </c>
    </row>
    <row r="109">
      <c r="M109" s="20">
        <f>IF($A109="","",_xlfn.MAXIFS(Monitoramento!$B$2:$B$200,Monitoramento!$A$2:$A$200,$A109))</f>
        <v/>
      </c>
      <c r="N109" s="20">
        <f>IF(OR($A109="",M109=0),"",SUMIFS(Monitoramento!$D$2:$D$200,Monitoramento!$A$2:$A$200,$A109,Monitoramento!$B$2:$B$200,M109))</f>
        <v/>
      </c>
      <c r="O109" s="20">
        <f>IF(OR($A109="",M109=0),"",SUMIFS(Monitoramento!$E$2:$E$200,Monitoramento!$A$2:$A$200,$A109,Monitoramento!$B$2:$B$200,M109))</f>
        <v/>
      </c>
      <c r="P109" s="20">
        <f>IF(N109="","",N109*O109)</f>
        <v/>
      </c>
      <c r="Q109" s="21">
        <f>IF(P109="","",IF(P109&gt;=15,"Elevado",IF(P109&gt;=6,"Médio","Baixo")))</f>
        <v/>
      </c>
    </row>
    <row r="110">
      <c r="M110" s="20">
        <f>IF($A110="","",_xlfn.MAXIFS(Monitoramento!$B$2:$B$200,Monitoramento!$A$2:$A$200,$A110))</f>
        <v/>
      </c>
      <c r="N110" s="20">
        <f>IF(OR($A110="",M110=0),"",SUMIFS(Monitoramento!$D$2:$D$200,Monitoramento!$A$2:$A$200,$A110,Monitoramento!$B$2:$B$200,M110))</f>
        <v/>
      </c>
      <c r="O110" s="20">
        <f>IF(OR($A110="",M110=0),"",SUMIFS(Monitoramento!$E$2:$E$200,Monitoramento!$A$2:$A$200,$A110,Monitoramento!$B$2:$B$200,M110))</f>
        <v/>
      </c>
      <c r="P110" s="20">
        <f>IF(N110="","",N110*O110)</f>
        <v/>
      </c>
      <c r="Q110" s="21">
        <f>IF(P110="","",IF(P110&gt;=15,"Elevado",IF(P110&gt;=6,"Médio","Baixo")))</f>
        <v/>
      </c>
    </row>
    <row r="111">
      <c r="M111" s="20">
        <f>IF($A111="","",_xlfn.MAXIFS(Monitoramento!$B$2:$B$200,Monitoramento!$A$2:$A$200,$A111))</f>
        <v/>
      </c>
      <c r="N111" s="20">
        <f>IF(OR($A111="",M111=0),"",SUMIFS(Monitoramento!$D$2:$D$200,Monitoramento!$A$2:$A$200,$A111,Monitoramento!$B$2:$B$200,M111))</f>
        <v/>
      </c>
      <c r="O111" s="20">
        <f>IF(OR($A111="",M111=0),"",SUMIFS(Monitoramento!$E$2:$E$200,Monitoramento!$A$2:$A$200,$A111,Monitoramento!$B$2:$B$200,M111))</f>
        <v/>
      </c>
      <c r="P111" s="20">
        <f>IF(N111="","",N111*O111)</f>
        <v/>
      </c>
      <c r="Q111" s="21">
        <f>IF(P111="","",IF(P111&gt;=15,"Elevado",IF(P111&gt;=6,"Médio","Baixo")))</f>
        <v/>
      </c>
    </row>
    <row r="112">
      <c r="M112" s="20">
        <f>IF($A112="","",_xlfn.MAXIFS(Monitoramento!$B$2:$B$200,Monitoramento!$A$2:$A$200,$A112))</f>
        <v/>
      </c>
      <c r="N112" s="20">
        <f>IF(OR($A112="",M112=0),"",SUMIFS(Monitoramento!$D$2:$D$200,Monitoramento!$A$2:$A$200,$A112,Monitoramento!$B$2:$B$200,M112))</f>
        <v/>
      </c>
      <c r="O112" s="20">
        <f>IF(OR($A112="",M112=0),"",SUMIFS(Monitoramento!$E$2:$E$200,Monitoramento!$A$2:$A$200,$A112,Monitoramento!$B$2:$B$200,M112))</f>
        <v/>
      </c>
      <c r="P112" s="20">
        <f>IF(N112="","",N112*O112)</f>
        <v/>
      </c>
      <c r="Q112" s="21">
        <f>IF(P112="","",IF(P112&gt;=15,"Elevado",IF(P112&gt;=6,"Médio","Baixo")))</f>
        <v/>
      </c>
    </row>
    <row r="113">
      <c r="M113" s="20">
        <f>IF($A113="","",_xlfn.MAXIFS(Monitoramento!$B$2:$B$200,Monitoramento!$A$2:$A$200,$A113))</f>
        <v/>
      </c>
      <c r="N113" s="20">
        <f>IF(OR($A113="",M113=0),"",SUMIFS(Monitoramento!$D$2:$D$200,Monitoramento!$A$2:$A$200,$A113,Monitoramento!$B$2:$B$200,M113))</f>
        <v/>
      </c>
      <c r="O113" s="20">
        <f>IF(OR($A113="",M113=0),"",SUMIFS(Monitoramento!$E$2:$E$200,Monitoramento!$A$2:$A$200,$A113,Monitoramento!$B$2:$B$200,M113))</f>
        <v/>
      </c>
      <c r="P113" s="20">
        <f>IF(N113="","",N113*O113)</f>
        <v/>
      </c>
      <c r="Q113" s="21">
        <f>IF(P113="","",IF(P113&gt;=15,"Elevado",IF(P113&gt;=6,"Médio","Baixo")))</f>
        <v/>
      </c>
    </row>
    <row r="114">
      <c r="M114" s="20">
        <f>IF($A114="","",_xlfn.MAXIFS(Monitoramento!$B$2:$B$200,Monitoramento!$A$2:$A$200,$A114))</f>
        <v/>
      </c>
      <c r="N114" s="20">
        <f>IF(OR($A114="",M114=0),"",SUMIFS(Monitoramento!$D$2:$D$200,Monitoramento!$A$2:$A$200,$A114,Monitoramento!$B$2:$B$200,M114))</f>
        <v/>
      </c>
      <c r="O114" s="20">
        <f>IF(OR($A114="",M114=0),"",SUMIFS(Monitoramento!$E$2:$E$200,Monitoramento!$A$2:$A$200,$A114,Monitoramento!$B$2:$B$200,M114))</f>
        <v/>
      </c>
      <c r="P114" s="20">
        <f>IF(N114="","",N114*O114)</f>
        <v/>
      </c>
      <c r="Q114" s="21">
        <f>IF(P114="","",IF(P114&gt;=15,"Elevado",IF(P114&gt;=6,"Médio","Baixo")))</f>
        <v/>
      </c>
    </row>
    <row r="115">
      <c r="M115" s="20">
        <f>IF($A115="","",_xlfn.MAXIFS(Monitoramento!$B$2:$B$200,Monitoramento!$A$2:$A$200,$A115))</f>
        <v/>
      </c>
      <c r="N115" s="20">
        <f>IF(OR($A115="",M115=0),"",SUMIFS(Monitoramento!$D$2:$D$200,Monitoramento!$A$2:$A$200,$A115,Monitoramento!$B$2:$B$200,M115))</f>
        <v/>
      </c>
      <c r="O115" s="20">
        <f>IF(OR($A115="",M115=0),"",SUMIFS(Monitoramento!$E$2:$E$200,Monitoramento!$A$2:$A$200,$A115,Monitoramento!$B$2:$B$200,M115))</f>
        <v/>
      </c>
      <c r="P115" s="20">
        <f>IF(N115="","",N115*O115)</f>
        <v/>
      </c>
      <c r="Q115" s="21">
        <f>IF(P115="","",IF(P115&gt;=15,"Elevado",IF(P115&gt;=6,"Médio","Baixo")))</f>
        <v/>
      </c>
    </row>
    <row r="116">
      <c r="M116" s="20">
        <f>IF($A116="","",_xlfn.MAXIFS(Monitoramento!$B$2:$B$200,Monitoramento!$A$2:$A$200,$A116))</f>
        <v/>
      </c>
      <c r="N116" s="20">
        <f>IF(OR($A116="",M116=0),"",SUMIFS(Monitoramento!$D$2:$D$200,Monitoramento!$A$2:$A$200,$A116,Monitoramento!$B$2:$B$200,M116))</f>
        <v/>
      </c>
      <c r="O116" s="20">
        <f>IF(OR($A116="",M116=0),"",SUMIFS(Monitoramento!$E$2:$E$200,Monitoramento!$A$2:$A$200,$A116,Monitoramento!$B$2:$B$200,M116))</f>
        <v/>
      </c>
      <c r="P116" s="20">
        <f>IF(N116="","",N116*O116)</f>
        <v/>
      </c>
      <c r="Q116" s="21">
        <f>IF(P116="","",IF(P116&gt;=15,"Elevado",IF(P116&gt;=6,"Médio","Baixo")))</f>
        <v/>
      </c>
    </row>
    <row r="117">
      <c r="M117" s="20">
        <f>IF($A117="","",_xlfn.MAXIFS(Monitoramento!$B$2:$B$200,Monitoramento!$A$2:$A$200,$A117))</f>
        <v/>
      </c>
      <c r="N117" s="20">
        <f>IF(OR($A117="",M117=0),"",SUMIFS(Monitoramento!$D$2:$D$200,Monitoramento!$A$2:$A$200,$A117,Monitoramento!$B$2:$B$200,M117))</f>
        <v/>
      </c>
      <c r="O117" s="20">
        <f>IF(OR($A117="",M117=0),"",SUMIFS(Monitoramento!$E$2:$E$200,Monitoramento!$A$2:$A$200,$A117,Monitoramento!$B$2:$B$200,M117))</f>
        <v/>
      </c>
      <c r="P117" s="20">
        <f>IF(N117="","",N117*O117)</f>
        <v/>
      </c>
      <c r="Q117" s="21">
        <f>IF(P117="","",IF(P117&gt;=15,"Elevado",IF(P117&gt;=6,"Médio","Baixo")))</f>
        <v/>
      </c>
    </row>
    <row r="118">
      <c r="M118" s="20">
        <f>IF($A118="","",_xlfn.MAXIFS(Monitoramento!$B$2:$B$200,Monitoramento!$A$2:$A$200,$A118))</f>
        <v/>
      </c>
      <c r="N118" s="20">
        <f>IF(OR($A118="",M118=0),"",SUMIFS(Monitoramento!$D$2:$D$200,Monitoramento!$A$2:$A$200,$A118,Monitoramento!$B$2:$B$200,M118))</f>
        <v/>
      </c>
      <c r="O118" s="20">
        <f>IF(OR($A118="",M118=0),"",SUMIFS(Monitoramento!$E$2:$E$200,Monitoramento!$A$2:$A$200,$A118,Monitoramento!$B$2:$B$200,M118))</f>
        <v/>
      </c>
      <c r="P118" s="20">
        <f>IF(N118="","",N118*O118)</f>
        <v/>
      </c>
      <c r="Q118" s="21">
        <f>IF(P118="","",IF(P118&gt;=15,"Elevado",IF(P118&gt;=6,"Médio","Baixo")))</f>
        <v/>
      </c>
    </row>
    <row r="119">
      <c r="M119" s="20">
        <f>IF($A119="","",_xlfn.MAXIFS(Monitoramento!$B$2:$B$200,Monitoramento!$A$2:$A$200,$A119))</f>
        <v/>
      </c>
      <c r="N119" s="20">
        <f>IF(OR($A119="",M119=0),"",SUMIFS(Monitoramento!$D$2:$D$200,Monitoramento!$A$2:$A$200,$A119,Monitoramento!$B$2:$B$200,M119))</f>
        <v/>
      </c>
      <c r="O119" s="20">
        <f>IF(OR($A119="",M119=0),"",SUMIFS(Monitoramento!$E$2:$E$200,Monitoramento!$A$2:$A$200,$A119,Monitoramento!$B$2:$B$200,M119))</f>
        <v/>
      </c>
      <c r="P119" s="20">
        <f>IF(N119="","",N119*O119)</f>
        <v/>
      </c>
      <c r="Q119" s="21">
        <f>IF(P119="","",IF(P119&gt;=15,"Elevado",IF(P119&gt;=6,"Médio","Baixo")))</f>
        <v/>
      </c>
    </row>
    <row r="120">
      <c r="M120" s="20">
        <f>IF($A120="","",_xlfn.MAXIFS(Monitoramento!$B$2:$B$200,Monitoramento!$A$2:$A$200,$A120))</f>
        <v/>
      </c>
      <c r="N120" s="20">
        <f>IF(OR($A120="",M120=0),"",SUMIFS(Monitoramento!$D$2:$D$200,Monitoramento!$A$2:$A$200,$A120,Monitoramento!$B$2:$B$200,M120))</f>
        <v/>
      </c>
      <c r="O120" s="20">
        <f>IF(OR($A120="",M120=0),"",SUMIFS(Monitoramento!$E$2:$E$200,Monitoramento!$A$2:$A$200,$A120,Monitoramento!$B$2:$B$200,M120))</f>
        <v/>
      </c>
      <c r="P120" s="20">
        <f>IF(N120="","",N120*O120)</f>
        <v/>
      </c>
      <c r="Q120" s="21">
        <f>IF(P120="","",IF(P120&gt;=15,"Elevado",IF(P120&gt;=6,"Médio","Baixo")))</f>
        <v/>
      </c>
    </row>
    <row r="121">
      <c r="M121" s="20">
        <f>IF($A121="","",_xlfn.MAXIFS(Monitoramento!$B$2:$B$200,Monitoramento!$A$2:$A$200,$A121))</f>
        <v/>
      </c>
      <c r="N121" s="20">
        <f>IF(OR($A121="",M121=0),"",SUMIFS(Monitoramento!$D$2:$D$200,Monitoramento!$A$2:$A$200,$A121,Monitoramento!$B$2:$B$200,M121))</f>
        <v/>
      </c>
      <c r="O121" s="20">
        <f>IF(OR($A121="",M121=0),"",SUMIFS(Monitoramento!$E$2:$E$200,Monitoramento!$A$2:$A$200,$A121,Monitoramento!$B$2:$B$200,M121))</f>
        <v/>
      </c>
      <c r="P121" s="20">
        <f>IF(N121="","",N121*O121)</f>
        <v/>
      </c>
      <c r="Q121" s="21">
        <f>IF(P121="","",IF(P121&gt;=15,"Elevado",IF(P121&gt;=6,"Médio","Baixo")))</f>
        <v/>
      </c>
    </row>
    <row r="122">
      <c r="M122" s="20">
        <f>IF($A122="","",_xlfn.MAXIFS(Monitoramento!$B$2:$B$200,Monitoramento!$A$2:$A$200,$A122))</f>
        <v/>
      </c>
      <c r="N122" s="20">
        <f>IF(OR($A122="",M122=0),"",SUMIFS(Monitoramento!$D$2:$D$200,Monitoramento!$A$2:$A$200,$A122,Monitoramento!$B$2:$B$200,M122))</f>
        <v/>
      </c>
      <c r="O122" s="20">
        <f>IF(OR($A122="",M122=0),"",SUMIFS(Monitoramento!$E$2:$E$200,Monitoramento!$A$2:$A$200,$A122,Monitoramento!$B$2:$B$200,M122))</f>
        <v/>
      </c>
      <c r="P122" s="20">
        <f>IF(N122="","",N122*O122)</f>
        <v/>
      </c>
      <c r="Q122" s="21">
        <f>IF(P122="","",IF(P122&gt;=15,"Elevado",IF(P122&gt;=6,"Médio","Baixo")))</f>
        <v/>
      </c>
    </row>
    <row r="123">
      <c r="M123" s="20">
        <f>IF($A123="","",_xlfn.MAXIFS(Monitoramento!$B$2:$B$200,Monitoramento!$A$2:$A$200,$A123))</f>
        <v/>
      </c>
      <c r="N123" s="20">
        <f>IF(OR($A123="",M123=0),"",SUMIFS(Monitoramento!$D$2:$D$200,Monitoramento!$A$2:$A$200,$A123,Monitoramento!$B$2:$B$200,M123))</f>
        <v/>
      </c>
      <c r="O123" s="20">
        <f>IF(OR($A123="",M123=0),"",SUMIFS(Monitoramento!$E$2:$E$200,Monitoramento!$A$2:$A$200,$A123,Monitoramento!$B$2:$B$200,M123))</f>
        <v/>
      </c>
      <c r="P123" s="20">
        <f>IF(N123="","",N123*O123)</f>
        <v/>
      </c>
      <c r="Q123" s="21">
        <f>IF(P123="","",IF(P123&gt;=15,"Elevado",IF(P123&gt;=6,"Médio","Baixo")))</f>
        <v/>
      </c>
    </row>
    <row r="124">
      <c r="M124" s="20">
        <f>IF($A124="","",_xlfn.MAXIFS(Monitoramento!$B$2:$B$200,Monitoramento!$A$2:$A$200,$A124))</f>
        <v/>
      </c>
      <c r="N124" s="20">
        <f>IF(OR($A124="",M124=0),"",SUMIFS(Monitoramento!$D$2:$D$200,Monitoramento!$A$2:$A$200,$A124,Monitoramento!$B$2:$B$200,M124))</f>
        <v/>
      </c>
      <c r="O124" s="20">
        <f>IF(OR($A124="",M124=0),"",SUMIFS(Monitoramento!$E$2:$E$200,Monitoramento!$A$2:$A$200,$A124,Monitoramento!$B$2:$B$200,M124))</f>
        <v/>
      </c>
      <c r="P124" s="20">
        <f>IF(N124="","",N124*O124)</f>
        <v/>
      </c>
      <c r="Q124" s="21">
        <f>IF(P124="","",IF(P124&gt;=15,"Elevado",IF(P124&gt;=6,"Médio","Baixo")))</f>
        <v/>
      </c>
    </row>
    <row r="125">
      <c r="M125" s="20">
        <f>IF($A125="","",_xlfn.MAXIFS(Monitoramento!$B$2:$B$200,Monitoramento!$A$2:$A$200,$A125))</f>
        <v/>
      </c>
      <c r="N125" s="20">
        <f>IF(OR($A125="",M125=0),"",SUMIFS(Monitoramento!$D$2:$D$200,Monitoramento!$A$2:$A$200,$A125,Monitoramento!$B$2:$B$200,M125))</f>
        <v/>
      </c>
      <c r="O125" s="20">
        <f>IF(OR($A125="",M125=0),"",SUMIFS(Monitoramento!$E$2:$E$200,Monitoramento!$A$2:$A$200,$A125,Monitoramento!$B$2:$B$200,M125))</f>
        <v/>
      </c>
      <c r="P125" s="20">
        <f>IF(N125="","",N125*O125)</f>
        <v/>
      </c>
      <c r="Q125" s="21">
        <f>IF(P125="","",IF(P125&gt;=15,"Elevado",IF(P125&gt;=6,"Médio","Baixo")))</f>
        <v/>
      </c>
    </row>
    <row r="126">
      <c r="M126" s="20">
        <f>IF($A126="","",_xlfn.MAXIFS(Monitoramento!$B$2:$B$200,Monitoramento!$A$2:$A$200,$A126))</f>
        <v/>
      </c>
      <c r="N126" s="20">
        <f>IF(OR($A126="",M126=0),"",SUMIFS(Monitoramento!$D$2:$D$200,Monitoramento!$A$2:$A$200,$A126,Monitoramento!$B$2:$B$200,M126))</f>
        <v/>
      </c>
      <c r="O126" s="20">
        <f>IF(OR($A126="",M126=0),"",SUMIFS(Monitoramento!$E$2:$E$200,Monitoramento!$A$2:$A$200,$A126,Monitoramento!$B$2:$B$200,M126))</f>
        <v/>
      </c>
      <c r="P126" s="20">
        <f>IF(N126="","",N126*O126)</f>
        <v/>
      </c>
      <c r="Q126" s="21">
        <f>IF(P126="","",IF(P126&gt;=15,"Elevado",IF(P126&gt;=6,"Médio","Baixo")))</f>
        <v/>
      </c>
    </row>
    <row r="127">
      <c r="M127" s="20">
        <f>IF($A127="","",_xlfn.MAXIFS(Monitoramento!$B$2:$B$200,Monitoramento!$A$2:$A$200,$A127))</f>
        <v/>
      </c>
      <c r="N127" s="20">
        <f>IF(OR($A127="",M127=0),"",SUMIFS(Monitoramento!$D$2:$D$200,Monitoramento!$A$2:$A$200,$A127,Monitoramento!$B$2:$B$200,M127))</f>
        <v/>
      </c>
      <c r="O127" s="20">
        <f>IF(OR($A127="",M127=0),"",SUMIFS(Monitoramento!$E$2:$E$200,Monitoramento!$A$2:$A$200,$A127,Monitoramento!$B$2:$B$200,M127))</f>
        <v/>
      </c>
      <c r="P127" s="20">
        <f>IF(N127="","",N127*O127)</f>
        <v/>
      </c>
      <c r="Q127" s="21">
        <f>IF(P127="","",IF(P127&gt;=15,"Elevado",IF(P127&gt;=6,"Médio","Baixo")))</f>
        <v/>
      </c>
    </row>
    <row r="128">
      <c r="M128" s="20">
        <f>IF($A128="","",_xlfn.MAXIFS(Monitoramento!$B$2:$B$200,Monitoramento!$A$2:$A$200,$A128))</f>
        <v/>
      </c>
      <c r="N128" s="20">
        <f>IF(OR($A128="",M128=0),"",SUMIFS(Monitoramento!$D$2:$D$200,Monitoramento!$A$2:$A$200,$A128,Monitoramento!$B$2:$B$200,M128))</f>
        <v/>
      </c>
      <c r="O128" s="20">
        <f>IF(OR($A128="",M128=0),"",SUMIFS(Monitoramento!$E$2:$E$200,Monitoramento!$A$2:$A$200,$A128,Monitoramento!$B$2:$B$200,M128))</f>
        <v/>
      </c>
      <c r="P128" s="20">
        <f>IF(N128="","",N128*O128)</f>
        <v/>
      </c>
      <c r="Q128" s="21">
        <f>IF(P128="","",IF(P128&gt;=15,"Elevado",IF(P128&gt;=6,"Médio","Baixo")))</f>
        <v/>
      </c>
    </row>
    <row r="129">
      <c r="M129" s="20">
        <f>IF($A129="","",_xlfn.MAXIFS(Monitoramento!$B$2:$B$200,Monitoramento!$A$2:$A$200,$A129))</f>
        <v/>
      </c>
      <c r="N129" s="20">
        <f>IF(OR($A129="",M129=0),"",SUMIFS(Monitoramento!$D$2:$D$200,Monitoramento!$A$2:$A$200,$A129,Monitoramento!$B$2:$B$200,M129))</f>
        <v/>
      </c>
      <c r="O129" s="20">
        <f>IF(OR($A129="",M129=0),"",SUMIFS(Monitoramento!$E$2:$E$200,Monitoramento!$A$2:$A$200,$A129,Monitoramento!$B$2:$B$200,M129))</f>
        <v/>
      </c>
      <c r="P129" s="20">
        <f>IF(N129="","",N129*O129)</f>
        <v/>
      </c>
      <c r="Q129" s="21">
        <f>IF(P129="","",IF(P129&gt;=15,"Elevado",IF(P129&gt;=6,"Médio","Baixo")))</f>
        <v/>
      </c>
    </row>
    <row r="130">
      <c r="M130" s="20">
        <f>IF($A130="","",_xlfn.MAXIFS(Monitoramento!$B$2:$B$200,Monitoramento!$A$2:$A$200,$A130))</f>
        <v/>
      </c>
      <c r="N130" s="20">
        <f>IF(OR($A130="",M130=0),"",SUMIFS(Monitoramento!$D$2:$D$200,Monitoramento!$A$2:$A$200,$A130,Monitoramento!$B$2:$B$200,M130))</f>
        <v/>
      </c>
      <c r="O130" s="20">
        <f>IF(OR($A130="",M130=0),"",SUMIFS(Monitoramento!$E$2:$E$200,Monitoramento!$A$2:$A$200,$A130,Monitoramento!$B$2:$B$200,M130))</f>
        <v/>
      </c>
      <c r="P130" s="20">
        <f>IF(N130="","",N130*O130)</f>
        <v/>
      </c>
      <c r="Q130" s="21">
        <f>IF(P130="","",IF(P130&gt;=15,"Elevado",IF(P130&gt;=6,"Médio","Baixo")))</f>
        <v/>
      </c>
    </row>
    <row r="131">
      <c r="M131" s="20">
        <f>IF($A131="","",_xlfn.MAXIFS(Monitoramento!$B$2:$B$200,Monitoramento!$A$2:$A$200,$A131))</f>
        <v/>
      </c>
      <c r="N131" s="20">
        <f>IF(OR($A131="",M131=0),"",SUMIFS(Monitoramento!$D$2:$D$200,Monitoramento!$A$2:$A$200,$A131,Monitoramento!$B$2:$B$200,M131))</f>
        <v/>
      </c>
      <c r="O131" s="20">
        <f>IF(OR($A131="",M131=0),"",SUMIFS(Monitoramento!$E$2:$E$200,Monitoramento!$A$2:$A$200,$A131,Monitoramento!$B$2:$B$200,M131))</f>
        <v/>
      </c>
      <c r="P131" s="20">
        <f>IF(N131="","",N131*O131)</f>
        <v/>
      </c>
      <c r="Q131" s="21">
        <f>IF(P131="","",IF(P131&gt;=15,"Elevado",IF(P131&gt;=6,"Médio","Baixo")))</f>
        <v/>
      </c>
    </row>
    <row r="132">
      <c r="M132" s="20">
        <f>IF($A132="","",_xlfn.MAXIFS(Monitoramento!$B$2:$B$200,Monitoramento!$A$2:$A$200,$A132))</f>
        <v/>
      </c>
      <c r="N132" s="20">
        <f>IF(OR($A132="",M132=0),"",SUMIFS(Monitoramento!$D$2:$D$200,Monitoramento!$A$2:$A$200,$A132,Monitoramento!$B$2:$B$200,M132))</f>
        <v/>
      </c>
      <c r="O132" s="20">
        <f>IF(OR($A132="",M132=0),"",SUMIFS(Monitoramento!$E$2:$E$200,Monitoramento!$A$2:$A$200,$A132,Monitoramento!$B$2:$B$200,M132))</f>
        <v/>
      </c>
      <c r="P132" s="20">
        <f>IF(N132="","",N132*O132)</f>
        <v/>
      </c>
      <c r="Q132" s="21">
        <f>IF(P132="","",IF(P132&gt;=15,"Elevado",IF(P132&gt;=6,"Médio","Baixo")))</f>
        <v/>
      </c>
    </row>
    <row r="133">
      <c r="M133" s="20">
        <f>IF($A133="","",_xlfn.MAXIFS(Monitoramento!$B$2:$B$200,Monitoramento!$A$2:$A$200,$A133))</f>
        <v/>
      </c>
      <c r="N133" s="20">
        <f>IF(OR($A133="",M133=0),"",SUMIFS(Monitoramento!$D$2:$D$200,Monitoramento!$A$2:$A$200,$A133,Monitoramento!$B$2:$B$200,M133))</f>
        <v/>
      </c>
      <c r="O133" s="20">
        <f>IF(OR($A133="",M133=0),"",SUMIFS(Monitoramento!$E$2:$E$200,Monitoramento!$A$2:$A$200,$A133,Monitoramento!$B$2:$B$200,M133))</f>
        <v/>
      </c>
      <c r="P133" s="20">
        <f>IF(N133="","",N133*O133)</f>
        <v/>
      </c>
      <c r="Q133" s="21">
        <f>IF(P133="","",IF(P133&gt;=15,"Elevado",IF(P133&gt;=6,"Médio","Baixo")))</f>
        <v/>
      </c>
    </row>
    <row r="134">
      <c r="M134" s="20">
        <f>IF($A134="","",_xlfn.MAXIFS(Monitoramento!$B$2:$B$200,Monitoramento!$A$2:$A$200,$A134))</f>
        <v/>
      </c>
      <c r="N134" s="20">
        <f>IF(OR($A134="",M134=0),"",SUMIFS(Monitoramento!$D$2:$D$200,Monitoramento!$A$2:$A$200,$A134,Monitoramento!$B$2:$B$200,M134))</f>
        <v/>
      </c>
      <c r="O134" s="20">
        <f>IF(OR($A134="",M134=0),"",SUMIFS(Monitoramento!$E$2:$E$200,Monitoramento!$A$2:$A$200,$A134,Monitoramento!$B$2:$B$200,M134))</f>
        <v/>
      </c>
      <c r="P134" s="20">
        <f>IF(N134="","",N134*O134)</f>
        <v/>
      </c>
      <c r="Q134" s="21">
        <f>IF(P134="","",IF(P134&gt;=15,"Elevado",IF(P134&gt;=6,"Médio","Baixo")))</f>
        <v/>
      </c>
    </row>
    <row r="135">
      <c r="M135" s="20">
        <f>IF($A135="","",_xlfn.MAXIFS(Monitoramento!$B$2:$B$200,Monitoramento!$A$2:$A$200,$A135))</f>
        <v/>
      </c>
      <c r="N135" s="20">
        <f>IF(OR($A135="",M135=0),"",SUMIFS(Monitoramento!$D$2:$D$200,Monitoramento!$A$2:$A$200,$A135,Monitoramento!$B$2:$B$200,M135))</f>
        <v/>
      </c>
      <c r="O135" s="20">
        <f>IF(OR($A135="",M135=0),"",SUMIFS(Monitoramento!$E$2:$E$200,Monitoramento!$A$2:$A$200,$A135,Monitoramento!$B$2:$B$200,M135))</f>
        <v/>
      </c>
      <c r="P135" s="20">
        <f>IF(N135="","",N135*O135)</f>
        <v/>
      </c>
      <c r="Q135" s="21">
        <f>IF(P135="","",IF(P135&gt;=15,"Elevado",IF(P135&gt;=6,"Médio","Baixo")))</f>
        <v/>
      </c>
    </row>
    <row r="136">
      <c r="M136" s="20">
        <f>IF($A136="","",_xlfn.MAXIFS(Monitoramento!$B$2:$B$200,Monitoramento!$A$2:$A$200,$A136))</f>
        <v/>
      </c>
      <c r="N136" s="20">
        <f>IF(OR($A136="",M136=0),"",SUMIFS(Monitoramento!$D$2:$D$200,Monitoramento!$A$2:$A$200,$A136,Monitoramento!$B$2:$B$200,M136))</f>
        <v/>
      </c>
      <c r="O136" s="20">
        <f>IF(OR($A136="",M136=0),"",SUMIFS(Monitoramento!$E$2:$E$200,Monitoramento!$A$2:$A$200,$A136,Monitoramento!$B$2:$B$200,M136))</f>
        <v/>
      </c>
      <c r="P136" s="20">
        <f>IF(N136="","",N136*O136)</f>
        <v/>
      </c>
      <c r="Q136" s="21">
        <f>IF(P136="","",IF(P136&gt;=15,"Elevado",IF(P136&gt;=6,"Médio","Baixo")))</f>
        <v/>
      </c>
    </row>
    <row r="137">
      <c r="M137" s="20">
        <f>IF($A137="","",_xlfn.MAXIFS(Monitoramento!$B$2:$B$200,Monitoramento!$A$2:$A$200,$A137))</f>
        <v/>
      </c>
      <c r="N137" s="20">
        <f>IF(OR($A137="",M137=0),"",SUMIFS(Monitoramento!$D$2:$D$200,Monitoramento!$A$2:$A$200,$A137,Monitoramento!$B$2:$B$200,M137))</f>
        <v/>
      </c>
      <c r="O137" s="20">
        <f>IF(OR($A137="",M137=0),"",SUMIFS(Monitoramento!$E$2:$E$200,Monitoramento!$A$2:$A$200,$A137,Monitoramento!$B$2:$B$200,M137))</f>
        <v/>
      </c>
      <c r="P137" s="20">
        <f>IF(N137="","",N137*O137)</f>
        <v/>
      </c>
      <c r="Q137" s="21">
        <f>IF(P137="","",IF(P137&gt;=15,"Elevado",IF(P137&gt;=6,"Médio","Baixo")))</f>
        <v/>
      </c>
    </row>
    <row r="138">
      <c r="M138" s="20">
        <f>IF($A138="","",_xlfn.MAXIFS(Monitoramento!$B$2:$B$200,Monitoramento!$A$2:$A$200,$A138))</f>
        <v/>
      </c>
      <c r="N138" s="20">
        <f>IF(OR($A138="",M138=0),"",SUMIFS(Monitoramento!$D$2:$D$200,Monitoramento!$A$2:$A$200,$A138,Monitoramento!$B$2:$B$200,M138))</f>
        <v/>
      </c>
      <c r="O138" s="20">
        <f>IF(OR($A138="",M138=0),"",SUMIFS(Monitoramento!$E$2:$E$200,Monitoramento!$A$2:$A$200,$A138,Monitoramento!$B$2:$B$200,M138))</f>
        <v/>
      </c>
      <c r="P138" s="20">
        <f>IF(N138="","",N138*O138)</f>
        <v/>
      </c>
      <c r="Q138" s="21">
        <f>IF(P138="","",IF(P138&gt;=15,"Elevado",IF(P138&gt;=6,"Médio","Baixo")))</f>
        <v/>
      </c>
    </row>
    <row r="139">
      <c r="M139" s="20">
        <f>IF($A139="","",_xlfn.MAXIFS(Monitoramento!$B$2:$B$200,Monitoramento!$A$2:$A$200,$A139))</f>
        <v/>
      </c>
      <c r="N139" s="20">
        <f>IF(OR($A139="",M139=0),"",SUMIFS(Monitoramento!$D$2:$D$200,Monitoramento!$A$2:$A$200,$A139,Monitoramento!$B$2:$B$200,M139))</f>
        <v/>
      </c>
      <c r="O139" s="20">
        <f>IF(OR($A139="",M139=0),"",SUMIFS(Monitoramento!$E$2:$E$200,Monitoramento!$A$2:$A$200,$A139,Monitoramento!$B$2:$B$200,M139))</f>
        <v/>
      </c>
      <c r="P139" s="20">
        <f>IF(N139="","",N139*O139)</f>
        <v/>
      </c>
      <c r="Q139" s="21">
        <f>IF(P139="","",IF(P139&gt;=15,"Elevado",IF(P139&gt;=6,"Médio","Baixo")))</f>
        <v/>
      </c>
    </row>
    <row r="140">
      <c r="M140" s="20">
        <f>IF($A140="","",_xlfn.MAXIFS(Monitoramento!$B$2:$B$200,Monitoramento!$A$2:$A$200,$A140))</f>
        <v/>
      </c>
      <c r="N140" s="20">
        <f>IF(OR($A140="",M140=0),"",SUMIFS(Monitoramento!$D$2:$D$200,Monitoramento!$A$2:$A$200,$A140,Monitoramento!$B$2:$B$200,M140))</f>
        <v/>
      </c>
      <c r="O140" s="20">
        <f>IF(OR($A140="",M140=0),"",SUMIFS(Monitoramento!$E$2:$E$200,Monitoramento!$A$2:$A$200,$A140,Monitoramento!$B$2:$B$200,M140))</f>
        <v/>
      </c>
      <c r="P140" s="20">
        <f>IF(N140="","",N140*O140)</f>
        <v/>
      </c>
      <c r="Q140" s="21">
        <f>IF(P140="","",IF(P140&gt;=15,"Elevado",IF(P140&gt;=6,"Médio","Baixo")))</f>
        <v/>
      </c>
    </row>
    <row r="141">
      <c r="M141" s="20">
        <f>IF($A141="","",_xlfn.MAXIFS(Monitoramento!$B$2:$B$200,Monitoramento!$A$2:$A$200,$A141))</f>
        <v/>
      </c>
      <c r="N141" s="20">
        <f>IF(OR($A141="",M141=0),"",SUMIFS(Monitoramento!$D$2:$D$200,Monitoramento!$A$2:$A$200,$A141,Monitoramento!$B$2:$B$200,M141))</f>
        <v/>
      </c>
      <c r="O141" s="20">
        <f>IF(OR($A141="",M141=0),"",SUMIFS(Monitoramento!$E$2:$E$200,Monitoramento!$A$2:$A$200,$A141,Monitoramento!$B$2:$B$200,M141))</f>
        <v/>
      </c>
      <c r="P141" s="20">
        <f>IF(N141="","",N141*O141)</f>
        <v/>
      </c>
      <c r="Q141" s="21">
        <f>IF(P141="","",IF(P141&gt;=15,"Elevado",IF(P141&gt;=6,"Médio","Baixo")))</f>
        <v/>
      </c>
    </row>
    <row r="142">
      <c r="M142" s="20">
        <f>IF($A142="","",_xlfn.MAXIFS(Monitoramento!$B$2:$B$200,Monitoramento!$A$2:$A$200,$A142))</f>
        <v/>
      </c>
      <c r="N142" s="20">
        <f>IF(OR($A142="",M142=0),"",SUMIFS(Monitoramento!$D$2:$D$200,Monitoramento!$A$2:$A$200,$A142,Monitoramento!$B$2:$B$200,M142))</f>
        <v/>
      </c>
      <c r="O142" s="20">
        <f>IF(OR($A142="",M142=0),"",SUMIFS(Monitoramento!$E$2:$E$200,Monitoramento!$A$2:$A$200,$A142,Monitoramento!$B$2:$B$200,M142))</f>
        <v/>
      </c>
      <c r="P142" s="20">
        <f>IF(N142="","",N142*O142)</f>
        <v/>
      </c>
      <c r="Q142" s="21">
        <f>IF(P142="","",IF(P142&gt;=15,"Elevado",IF(P142&gt;=6,"Médio","Baixo")))</f>
        <v/>
      </c>
    </row>
    <row r="143">
      <c r="M143" s="20">
        <f>IF($A143="","",_xlfn.MAXIFS(Monitoramento!$B$2:$B$200,Monitoramento!$A$2:$A$200,$A143))</f>
        <v/>
      </c>
      <c r="N143" s="20">
        <f>IF(OR($A143="",M143=0),"",SUMIFS(Monitoramento!$D$2:$D$200,Monitoramento!$A$2:$A$200,$A143,Monitoramento!$B$2:$B$200,M143))</f>
        <v/>
      </c>
      <c r="O143" s="20">
        <f>IF(OR($A143="",M143=0),"",SUMIFS(Monitoramento!$E$2:$E$200,Monitoramento!$A$2:$A$200,$A143,Monitoramento!$B$2:$B$200,M143))</f>
        <v/>
      </c>
      <c r="P143" s="20">
        <f>IF(N143="","",N143*O143)</f>
        <v/>
      </c>
      <c r="Q143" s="21">
        <f>IF(P143="","",IF(P143&gt;=15,"Elevado",IF(P143&gt;=6,"Médio","Baixo")))</f>
        <v/>
      </c>
    </row>
    <row r="144">
      <c r="M144" s="20">
        <f>IF($A144="","",_xlfn.MAXIFS(Monitoramento!$B$2:$B$200,Monitoramento!$A$2:$A$200,$A144))</f>
        <v/>
      </c>
      <c r="N144" s="20">
        <f>IF(OR($A144="",M144=0),"",SUMIFS(Monitoramento!$D$2:$D$200,Monitoramento!$A$2:$A$200,$A144,Monitoramento!$B$2:$B$200,M144))</f>
        <v/>
      </c>
      <c r="O144" s="20">
        <f>IF(OR($A144="",M144=0),"",SUMIFS(Monitoramento!$E$2:$E$200,Monitoramento!$A$2:$A$200,$A144,Monitoramento!$B$2:$B$200,M144))</f>
        <v/>
      </c>
      <c r="P144" s="20">
        <f>IF(N144="","",N144*O144)</f>
        <v/>
      </c>
      <c r="Q144" s="21">
        <f>IF(P144="","",IF(P144&gt;=15,"Elevado",IF(P144&gt;=6,"Médio","Baixo")))</f>
        <v/>
      </c>
    </row>
    <row r="145">
      <c r="M145" s="20">
        <f>IF($A145="","",_xlfn.MAXIFS(Monitoramento!$B$2:$B$200,Monitoramento!$A$2:$A$200,$A145))</f>
        <v/>
      </c>
      <c r="N145" s="20">
        <f>IF(OR($A145="",M145=0),"",SUMIFS(Monitoramento!$D$2:$D$200,Monitoramento!$A$2:$A$200,$A145,Monitoramento!$B$2:$B$200,M145))</f>
        <v/>
      </c>
      <c r="O145" s="20">
        <f>IF(OR($A145="",M145=0),"",SUMIFS(Monitoramento!$E$2:$E$200,Monitoramento!$A$2:$A$200,$A145,Monitoramento!$B$2:$B$200,M145))</f>
        <v/>
      </c>
      <c r="P145" s="20">
        <f>IF(N145="","",N145*O145)</f>
        <v/>
      </c>
      <c r="Q145" s="21">
        <f>IF(P145="","",IF(P145&gt;=15,"Elevado",IF(P145&gt;=6,"Médio","Baixo")))</f>
        <v/>
      </c>
    </row>
    <row r="146">
      <c r="M146" s="20">
        <f>IF($A146="","",_xlfn.MAXIFS(Monitoramento!$B$2:$B$200,Monitoramento!$A$2:$A$200,$A146))</f>
        <v/>
      </c>
      <c r="N146" s="20">
        <f>IF(OR($A146="",M146=0),"",SUMIFS(Monitoramento!$D$2:$D$200,Monitoramento!$A$2:$A$200,$A146,Monitoramento!$B$2:$B$200,M146))</f>
        <v/>
      </c>
      <c r="O146" s="20">
        <f>IF(OR($A146="",M146=0),"",SUMIFS(Monitoramento!$E$2:$E$200,Monitoramento!$A$2:$A$200,$A146,Monitoramento!$B$2:$B$200,M146))</f>
        <v/>
      </c>
      <c r="P146" s="20">
        <f>IF(N146="","",N146*O146)</f>
        <v/>
      </c>
      <c r="Q146" s="21">
        <f>IF(P146="","",IF(P146&gt;=15,"Elevado",IF(P146&gt;=6,"Médio","Baixo")))</f>
        <v/>
      </c>
    </row>
    <row r="147">
      <c r="M147" s="20">
        <f>IF($A147="","",_xlfn.MAXIFS(Monitoramento!$B$2:$B$200,Monitoramento!$A$2:$A$200,$A147))</f>
        <v/>
      </c>
      <c r="N147" s="20">
        <f>IF(OR($A147="",M147=0),"",SUMIFS(Monitoramento!$D$2:$D$200,Monitoramento!$A$2:$A$200,$A147,Monitoramento!$B$2:$B$200,M147))</f>
        <v/>
      </c>
      <c r="O147" s="20">
        <f>IF(OR($A147="",M147=0),"",SUMIFS(Monitoramento!$E$2:$E$200,Monitoramento!$A$2:$A$200,$A147,Monitoramento!$B$2:$B$200,M147))</f>
        <v/>
      </c>
      <c r="P147" s="20">
        <f>IF(N147="","",N147*O147)</f>
        <v/>
      </c>
      <c r="Q147" s="21">
        <f>IF(P147="","",IF(P147&gt;=15,"Elevado",IF(P147&gt;=6,"Médio","Baixo")))</f>
        <v/>
      </c>
    </row>
    <row r="148">
      <c r="M148" s="20">
        <f>IF($A148="","",_xlfn.MAXIFS(Monitoramento!$B$2:$B$200,Monitoramento!$A$2:$A$200,$A148))</f>
        <v/>
      </c>
      <c r="N148" s="20">
        <f>IF(OR($A148="",M148=0),"",SUMIFS(Monitoramento!$D$2:$D$200,Monitoramento!$A$2:$A$200,$A148,Monitoramento!$B$2:$B$200,M148))</f>
        <v/>
      </c>
      <c r="O148" s="20">
        <f>IF(OR($A148="",M148=0),"",SUMIFS(Monitoramento!$E$2:$E$200,Monitoramento!$A$2:$A$200,$A148,Monitoramento!$B$2:$B$200,M148))</f>
        <v/>
      </c>
      <c r="P148" s="20">
        <f>IF(N148="","",N148*O148)</f>
        <v/>
      </c>
      <c r="Q148" s="21">
        <f>IF(P148="","",IF(P148&gt;=15,"Elevado",IF(P148&gt;=6,"Médio","Baixo")))</f>
        <v/>
      </c>
    </row>
    <row r="149">
      <c r="M149" s="20">
        <f>IF($A149="","",_xlfn.MAXIFS(Monitoramento!$B$2:$B$200,Monitoramento!$A$2:$A$200,$A149))</f>
        <v/>
      </c>
      <c r="N149" s="20">
        <f>IF(OR($A149="",M149=0),"",SUMIFS(Monitoramento!$D$2:$D$200,Monitoramento!$A$2:$A$200,$A149,Monitoramento!$B$2:$B$200,M149))</f>
        <v/>
      </c>
      <c r="O149" s="20">
        <f>IF(OR($A149="",M149=0),"",SUMIFS(Monitoramento!$E$2:$E$200,Monitoramento!$A$2:$A$200,$A149,Monitoramento!$B$2:$B$200,M149))</f>
        <v/>
      </c>
      <c r="P149" s="20">
        <f>IF(N149="","",N149*O149)</f>
        <v/>
      </c>
      <c r="Q149" s="21">
        <f>IF(P149="","",IF(P149&gt;=15,"Elevado",IF(P149&gt;=6,"Médio","Baixo")))</f>
        <v/>
      </c>
    </row>
    <row r="150">
      <c r="M150" s="20">
        <f>IF($A150="","",_xlfn.MAXIFS(Monitoramento!$B$2:$B$200,Monitoramento!$A$2:$A$200,$A150))</f>
        <v/>
      </c>
      <c r="N150" s="20">
        <f>IF(OR($A150="",M150=0),"",SUMIFS(Monitoramento!$D$2:$D$200,Monitoramento!$A$2:$A$200,$A150,Monitoramento!$B$2:$B$200,M150))</f>
        <v/>
      </c>
      <c r="O150" s="20">
        <f>IF(OR($A150="",M150=0),"",SUMIFS(Monitoramento!$E$2:$E$200,Monitoramento!$A$2:$A$200,$A150,Monitoramento!$B$2:$B$200,M150))</f>
        <v/>
      </c>
      <c r="P150" s="20">
        <f>IF(N150="","",N150*O150)</f>
        <v/>
      </c>
      <c r="Q150" s="21">
        <f>IF(P150="","",IF(P150&gt;=15,"Elevado",IF(P150&gt;=6,"Médio","Baixo")))</f>
        <v/>
      </c>
    </row>
    <row r="151">
      <c r="M151" s="20">
        <f>IF($A151="","",_xlfn.MAXIFS(Monitoramento!$B$2:$B$200,Monitoramento!$A$2:$A$200,$A151))</f>
        <v/>
      </c>
      <c r="N151" s="20">
        <f>IF(OR($A151="",M151=0),"",SUMIFS(Monitoramento!$D$2:$D$200,Monitoramento!$A$2:$A$200,$A151,Monitoramento!$B$2:$B$200,M151))</f>
        <v/>
      </c>
      <c r="O151" s="20">
        <f>IF(OR($A151="",M151=0),"",SUMIFS(Monitoramento!$E$2:$E$200,Monitoramento!$A$2:$A$200,$A151,Monitoramento!$B$2:$B$200,M151))</f>
        <v/>
      </c>
      <c r="P151" s="20">
        <f>IF(N151="","",N151*O151)</f>
        <v/>
      </c>
      <c r="Q151" s="21">
        <f>IF(P151="","",IF(P151&gt;=15,"Elevado",IF(P151&gt;=6,"Médio","Baixo")))</f>
        <v/>
      </c>
    </row>
    <row r="152">
      <c r="M152" s="20">
        <f>IF($A152="","",_xlfn.MAXIFS(Monitoramento!$B$2:$B$200,Monitoramento!$A$2:$A$200,$A152))</f>
        <v/>
      </c>
      <c r="N152" s="20">
        <f>IF(OR($A152="",M152=0),"",SUMIFS(Monitoramento!$D$2:$D$200,Monitoramento!$A$2:$A$200,$A152,Monitoramento!$B$2:$B$200,M152))</f>
        <v/>
      </c>
      <c r="O152" s="20">
        <f>IF(OR($A152="",M152=0),"",SUMIFS(Monitoramento!$E$2:$E$200,Monitoramento!$A$2:$A$200,$A152,Monitoramento!$B$2:$B$200,M152))</f>
        <v/>
      </c>
      <c r="P152" s="20">
        <f>IF(N152="","",N152*O152)</f>
        <v/>
      </c>
      <c r="Q152" s="21">
        <f>IF(P152="","",IF(P152&gt;=15,"Elevado",IF(P152&gt;=6,"Médio","Baixo")))</f>
        <v/>
      </c>
    </row>
    <row r="153">
      <c r="M153" s="20">
        <f>IF($A153="","",_xlfn.MAXIFS(Monitoramento!$B$2:$B$200,Monitoramento!$A$2:$A$200,$A153))</f>
        <v/>
      </c>
      <c r="N153" s="20">
        <f>IF(OR($A153="",M153=0),"",SUMIFS(Monitoramento!$D$2:$D$200,Monitoramento!$A$2:$A$200,$A153,Monitoramento!$B$2:$B$200,M153))</f>
        <v/>
      </c>
      <c r="O153" s="20">
        <f>IF(OR($A153="",M153=0),"",SUMIFS(Monitoramento!$E$2:$E$200,Monitoramento!$A$2:$A$200,$A153,Monitoramento!$B$2:$B$200,M153))</f>
        <v/>
      </c>
      <c r="P153" s="20">
        <f>IF(N153="","",N153*O153)</f>
        <v/>
      </c>
      <c r="Q153" s="21">
        <f>IF(P153="","",IF(P153&gt;=15,"Elevado",IF(P153&gt;=6,"Médio","Baixo")))</f>
        <v/>
      </c>
    </row>
    <row r="154">
      <c r="M154" s="20">
        <f>IF($A154="","",_xlfn.MAXIFS(Monitoramento!$B$2:$B$200,Monitoramento!$A$2:$A$200,$A154))</f>
        <v/>
      </c>
      <c r="N154" s="20">
        <f>IF(OR($A154="",M154=0),"",SUMIFS(Monitoramento!$D$2:$D$200,Monitoramento!$A$2:$A$200,$A154,Monitoramento!$B$2:$B$200,M154))</f>
        <v/>
      </c>
      <c r="O154" s="20">
        <f>IF(OR($A154="",M154=0),"",SUMIFS(Monitoramento!$E$2:$E$200,Monitoramento!$A$2:$A$200,$A154,Monitoramento!$B$2:$B$200,M154))</f>
        <v/>
      </c>
      <c r="P154" s="20">
        <f>IF(N154="","",N154*O154)</f>
        <v/>
      </c>
      <c r="Q154" s="21">
        <f>IF(P154="","",IF(P154&gt;=15,"Elevado",IF(P154&gt;=6,"Médio","Baixo")))</f>
        <v/>
      </c>
    </row>
    <row r="155">
      <c r="M155" s="20">
        <f>IF($A155="","",_xlfn.MAXIFS(Monitoramento!$B$2:$B$200,Monitoramento!$A$2:$A$200,$A155))</f>
        <v/>
      </c>
      <c r="N155" s="20">
        <f>IF(OR($A155="",M155=0),"",SUMIFS(Monitoramento!$D$2:$D$200,Monitoramento!$A$2:$A$200,$A155,Monitoramento!$B$2:$B$200,M155))</f>
        <v/>
      </c>
      <c r="O155" s="20">
        <f>IF(OR($A155="",M155=0),"",SUMIFS(Monitoramento!$E$2:$E$200,Monitoramento!$A$2:$A$200,$A155,Monitoramento!$B$2:$B$200,M155))</f>
        <v/>
      </c>
      <c r="P155" s="20">
        <f>IF(N155="","",N155*O155)</f>
        <v/>
      </c>
      <c r="Q155" s="21">
        <f>IF(P155="","",IF(P155&gt;=15,"Elevado",IF(P155&gt;=6,"Médio","Baixo")))</f>
        <v/>
      </c>
    </row>
    <row r="156">
      <c r="M156" s="20">
        <f>IF($A156="","",_xlfn.MAXIFS(Monitoramento!$B$2:$B$200,Monitoramento!$A$2:$A$200,$A156))</f>
        <v/>
      </c>
      <c r="N156" s="20">
        <f>IF(OR($A156="",M156=0),"",SUMIFS(Monitoramento!$D$2:$D$200,Monitoramento!$A$2:$A$200,$A156,Monitoramento!$B$2:$B$200,M156))</f>
        <v/>
      </c>
      <c r="O156" s="20">
        <f>IF(OR($A156="",M156=0),"",SUMIFS(Monitoramento!$E$2:$E$200,Monitoramento!$A$2:$A$200,$A156,Monitoramento!$B$2:$B$200,M156))</f>
        <v/>
      </c>
      <c r="P156" s="20">
        <f>IF(N156="","",N156*O156)</f>
        <v/>
      </c>
      <c r="Q156" s="21">
        <f>IF(P156="","",IF(P156&gt;=15,"Elevado",IF(P156&gt;=6,"Médio","Baixo")))</f>
        <v/>
      </c>
    </row>
    <row r="157">
      <c r="M157" s="20">
        <f>IF($A157="","",_xlfn.MAXIFS(Monitoramento!$B$2:$B$200,Monitoramento!$A$2:$A$200,$A157))</f>
        <v/>
      </c>
      <c r="N157" s="20">
        <f>IF(OR($A157="",M157=0),"",SUMIFS(Monitoramento!$D$2:$D$200,Monitoramento!$A$2:$A$200,$A157,Monitoramento!$B$2:$B$200,M157))</f>
        <v/>
      </c>
      <c r="O157" s="20">
        <f>IF(OR($A157="",M157=0),"",SUMIFS(Monitoramento!$E$2:$E$200,Monitoramento!$A$2:$A$200,$A157,Monitoramento!$B$2:$B$200,M157))</f>
        <v/>
      </c>
      <c r="P157" s="20">
        <f>IF(N157="","",N157*O157)</f>
        <v/>
      </c>
      <c r="Q157" s="21">
        <f>IF(P157="","",IF(P157&gt;=15,"Elevado",IF(P157&gt;=6,"Médio","Baixo")))</f>
        <v/>
      </c>
    </row>
    <row r="158">
      <c r="M158" s="20">
        <f>IF($A158="","",_xlfn.MAXIFS(Monitoramento!$B$2:$B$200,Monitoramento!$A$2:$A$200,$A158))</f>
        <v/>
      </c>
      <c r="N158" s="20">
        <f>IF(OR($A158="",M158=0),"",SUMIFS(Monitoramento!$D$2:$D$200,Monitoramento!$A$2:$A$200,$A158,Monitoramento!$B$2:$B$200,M158))</f>
        <v/>
      </c>
      <c r="O158" s="20">
        <f>IF(OR($A158="",M158=0),"",SUMIFS(Monitoramento!$E$2:$E$200,Monitoramento!$A$2:$A$200,$A158,Monitoramento!$B$2:$B$200,M158))</f>
        <v/>
      </c>
      <c r="P158" s="20">
        <f>IF(N158="","",N158*O158)</f>
        <v/>
      </c>
      <c r="Q158" s="21">
        <f>IF(P158="","",IF(P158&gt;=15,"Elevado",IF(P158&gt;=6,"Médio","Baixo")))</f>
        <v/>
      </c>
    </row>
    <row r="159">
      <c r="M159" s="20">
        <f>IF($A159="","",_xlfn.MAXIFS(Monitoramento!$B$2:$B$200,Monitoramento!$A$2:$A$200,$A159))</f>
        <v/>
      </c>
      <c r="N159" s="20">
        <f>IF(OR($A159="",M159=0),"",SUMIFS(Monitoramento!$D$2:$D$200,Monitoramento!$A$2:$A$200,$A159,Monitoramento!$B$2:$B$200,M159))</f>
        <v/>
      </c>
      <c r="O159" s="20">
        <f>IF(OR($A159="",M159=0),"",SUMIFS(Monitoramento!$E$2:$E$200,Monitoramento!$A$2:$A$200,$A159,Monitoramento!$B$2:$B$200,M159))</f>
        <v/>
      </c>
      <c r="P159" s="20">
        <f>IF(N159="","",N159*O159)</f>
        <v/>
      </c>
      <c r="Q159" s="21">
        <f>IF(P159="","",IF(P159&gt;=15,"Elevado",IF(P159&gt;=6,"Médio","Baixo")))</f>
        <v/>
      </c>
    </row>
    <row r="160">
      <c r="M160" s="20">
        <f>IF($A160="","",_xlfn.MAXIFS(Monitoramento!$B$2:$B$200,Monitoramento!$A$2:$A$200,$A160))</f>
        <v/>
      </c>
      <c r="N160" s="20">
        <f>IF(OR($A160="",M160=0),"",SUMIFS(Monitoramento!$D$2:$D$200,Monitoramento!$A$2:$A$200,$A160,Monitoramento!$B$2:$B$200,M160))</f>
        <v/>
      </c>
      <c r="O160" s="20">
        <f>IF(OR($A160="",M160=0),"",SUMIFS(Monitoramento!$E$2:$E$200,Monitoramento!$A$2:$A$200,$A160,Monitoramento!$B$2:$B$200,M160))</f>
        <v/>
      </c>
      <c r="P160" s="20">
        <f>IF(N160="","",N160*O160)</f>
        <v/>
      </c>
      <c r="Q160" s="21">
        <f>IF(P160="","",IF(P160&gt;=15,"Elevado",IF(P160&gt;=6,"Médio","Baixo")))</f>
        <v/>
      </c>
    </row>
    <row r="161">
      <c r="M161" s="20">
        <f>IF($A161="","",_xlfn.MAXIFS(Monitoramento!$B$2:$B$200,Monitoramento!$A$2:$A$200,$A161))</f>
        <v/>
      </c>
      <c r="N161" s="20">
        <f>IF(OR($A161="",M161=0),"",SUMIFS(Monitoramento!$D$2:$D$200,Monitoramento!$A$2:$A$200,$A161,Monitoramento!$B$2:$B$200,M161))</f>
        <v/>
      </c>
      <c r="O161" s="20">
        <f>IF(OR($A161="",M161=0),"",SUMIFS(Monitoramento!$E$2:$E$200,Monitoramento!$A$2:$A$200,$A161,Monitoramento!$B$2:$B$200,M161))</f>
        <v/>
      </c>
      <c r="P161" s="20">
        <f>IF(N161="","",N161*O161)</f>
        <v/>
      </c>
      <c r="Q161" s="21">
        <f>IF(P161="","",IF(P161&gt;=15,"Elevado",IF(P161&gt;=6,"Médio","Baixo")))</f>
        <v/>
      </c>
    </row>
    <row r="162">
      <c r="M162" s="20">
        <f>IF($A162="","",_xlfn.MAXIFS(Monitoramento!$B$2:$B$200,Monitoramento!$A$2:$A$200,$A162))</f>
        <v/>
      </c>
      <c r="N162" s="20">
        <f>IF(OR($A162="",M162=0),"",SUMIFS(Monitoramento!$D$2:$D$200,Monitoramento!$A$2:$A$200,$A162,Monitoramento!$B$2:$B$200,M162))</f>
        <v/>
      </c>
      <c r="O162" s="20">
        <f>IF(OR($A162="",M162=0),"",SUMIFS(Monitoramento!$E$2:$E$200,Monitoramento!$A$2:$A$200,$A162,Monitoramento!$B$2:$B$200,M162))</f>
        <v/>
      </c>
      <c r="P162" s="20">
        <f>IF(N162="","",N162*O162)</f>
        <v/>
      </c>
      <c r="Q162" s="21">
        <f>IF(P162="","",IF(P162&gt;=15,"Elevado",IF(P162&gt;=6,"Médio","Baixo")))</f>
        <v/>
      </c>
    </row>
    <row r="163">
      <c r="M163" s="20">
        <f>IF($A163="","",_xlfn.MAXIFS(Monitoramento!$B$2:$B$200,Monitoramento!$A$2:$A$200,$A163))</f>
        <v/>
      </c>
      <c r="N163" s="20">
        <f>IF(OR($A163="",M163=0),"",SUMIFS(Monitoramento!$D$2:$D$200,Monitoramento!$A$2:$A$200,$A163,Monitoramento!$B$2:$B$200,M163))</f>
        <v/>
      </c>
      <c r="O163" s="20">
        <f>IF(OR($A163="",M163=0),"",SUMIFS(Monitoramento!$E$2:$E$200,Monitoramento!$A$2:$A$200,$A163,Monitoramento!$B$2:$B$200,M163))</f>
        <v/>
      </c>
      <c r="P163" s="20">
        <f>IF(N163="","",N163*O163)</f>
        <v/>
      </c>
      <c r="Q163" s="21">
        <f>IF(P163="","",IF(P163&gt;=15,"Elevado",IF(P163&gt;=6,"Médio","Baixo")))</f>
        <v/>
      </c>
    </row>
    <row r="164">
      <c r="M164" s="20">
        <f>IF($A164="","",_xlfn.MAXIFS(Monitoramento!$B$2:$B$200,Monitoramento!$A$2:$A$200,$A164))</f>
        <v/>
      </c>
      <c r="N164" s="20">
        <f>IF(OR($A164="",M164=0),"",SUMIFS(Monitoramento!$D$2:$D$200,Monitoramento!$A$2:$A$200,$A164,Monitoramento!$B$2:$B$200,M164))</f>
        <v/>
      </c>
      <c r="O164" s="20">
        <f>IF(OR($A164="",M164=0),"",SUMIFS(Monitoramento!$E$2:$E$200,Monitoramento!$A$2:$A$200,$A164,Monitoramento!$B$2:$B$200,M164))</f>
        <v/>
      </c>
      <c r="P164" s="20">
        <f>IF(N164="","",N164*O164)</f>
        <v/>
      </c>
      <c r="Q164" s="21">
        <f>IF(P164="","",IF(P164&gt;=15,"Elevado",IF(P164&gt;=6,"Médio","Baixo")))</f>
        <v/>
      </c>
    </row>
    <row r="165">
      <c r="M165" s="20">
        <f>IF($A165="","",_xlfn.MAXIFS(Monitoramento!$B$2:$B$200,Monitoramento!$A$2:$A$200,$A165))</f>
        <v/>
      </c>
      <c r="N165" s="20">
        <f>IF(OR($A165="",M165=0),"",SUMIFS(Monitoramento!$D$2:$D$200,Monitoramento!$A$2:$A$200,$A165,Monitoramento!$B$2:$B$200,M165))</f>
        <v/>
      </c>
      <c r="O165" s="20">
        <f>IF(OR($A165="",M165=0),"",SUMIFS(Monitoramento!$E$2:$E$200,Monitoramento!$A$2:$A$200,$A165,Monitoramento!$B$2:$B$200,M165))</f>
        <v/>
      </c>
      <c r="P165" s="20">
        <f>IF(N165="","",N165*O165)</f>
        <v/>
      </c>
      <c r="Q165" s="21">
        <f>IF(P165="","",IF(P165&gt;=15,"Elevado",IF(P165&gt;=6,"Médio","Baixo")))</f>
        <v/>
      </c>
    </row>
    <row r="166">
      <c r="M166" s="20">
        <f>IF($A166="","",_xlfn.MAXIFS(Monitoramento!$B$2:$B$200,Monitoramento!$A$2:$A$200,$A166))</f>
        <v/>
      </c>
      <c r="N166" s="20">
        <f>IF(OR($A166="",M166=0),"",SUMIFS(Monitoramento!$D$2:$D$200,Monitoramento!$A$2:$A$200,$A166,Monitoramento!$B$2:$B$200,M166))</f>
        <v/>
      </c>
      <c r="O166" s="20">
        <f>IF(OR($A166="",M166=0),"",SUMIFS(Monitoramento!$E$2:$E$200,Monitoramento!$A$2:$A$200,$A166,Monitoramento!$B$2:$B$200,M166))</f>
        <v/>
      </c>
      <c r="P166" s="20">
        <f>IF(N166="","",N166*O166)</f>
        <v/>
      </c>
      <c r="Q166" s="21">
        <f>IF(P166="","",IF(P166&gt;=15,"Elevado",IF(P166&gt;=6,"Médio","Baixo")))</f>
        <v/>
      </c>
    </row>
    <row r="167">
      <c r="M167" s="20">
        <f>IF($A167="","",_xlfn.MAXIFS(Monitoramento!$B$2:$B$200,Monitoramento!$A$2:$A$200,$A167))</f>
        <v/>
      </c>
      <c r="N167" s="20">
        <f>IF(OR($A167="",M167=0),"",SUMIFS(Monitoramento!$D$2:$D$200,Monitoramento!$A$2:$A$200,$A167,Monitoramento!$B$2:$B$200,M167))</f>
        <v/>
      </c>
      <c r="O167" s="20">
        <f>IF(OR($A167="",M167=0),"",SUMIFS(Monitoramento!$E$2:$E$200,Monitoramento!$A$2:$A$200,$A167,Monitoramento!$B$2:$B$200,M167))</f>
        <v/>
      </c>
      <c r="P167" s="20">
        <f>IF(N167="","",N167*O167)</f>
        <v/>
      </c>
      <c r="Q167" s="21">
        <f>IF(P167="","",IF(P167&gt;=15,"Elevado",IF(P167&gt;=6,"Médio","Baixo")))</f>
        <v/>
      </c>
    </row>
    <row r="168">
      <c r="M168" s="20">
        <f>IF($A168="","",_xlfn.MAXIFS(Monitoramento!$B$2:$B$200,Monitoramento!$A$2:$A$200,$A168))</f>
        <v/>
      </c>
      <c r="N168" s="20">
        <f>IF(OR($A168="",M168=0),"",SUMIFS(Monitoramento!$D$2:$D$200,Monitoramento!$A$2:$A$200,$A168,Monitoramento!$B$2:$B$200,M168))</f>
        <v/>
      </c>
      <c r="O168" s="20">
        <f>IF(OR($A168="",M168=0),"",SUMIFS(Monitoramento!$E$2:$E$200,Monitoramento!$A$2:$A$200,$A168,Monitoramento!$B$2:$B$200,M168))</f>
        <v/>
      </c>
      <c r="P168" s="20">
        <f>IF(N168="","",N168*O168)</f>
        <v/>
      </c>
      <c r="Q168" s="21">
        <f>IF(P168="","",IF(P168&gt;=15,"Elevado",IF(P168&gt;=6,"Médio","Baixo")))</f>
        <v/>
      </c>
    </row>
    <row r="169">
      <c r="M169" s="20">
        <f>IF($A169="","",_xlfn.MAXIFS(Monitoramento!$B$2:$B$200,Monitoramento!$A$2:$A$200,$A169))</f>
        <v/>
      </c>
      <c r="N169" s="20">
        <f>IF(OR($A169="",M169=0),"",SUMIFS(Monitoramento!$D$2:$D$200,Monitoramento!$A$2:$A$200,$A169,Monitoramento!$B$2:$B$200,M169))</f>
        <v/>
      </c>
      <c r="O169" s="20">
        <f>IF(OR($A169="",M169=0),"",SUMIFS(Monitoramento!$E$2:$E$200,Monitoramento!$A$2:$A$200,$A169,Monitoramento!$B$2:$B$200,M169))</f>
        <v/>
      </c>
      <c r="P169" s="20">
        <f>IF(N169="","",N169*O169)</f>
        <v/>
      </c>
      <c r="Q169" s="21">
        <f>IF(P169="","",IF(P169&gt;=15,"Elevado",IF(P169&gt;=6,"Médio","Baixo")))</f>
        <v/>
      </c>
    </row>
    <row r="170">
      <c r="M170" s="20">
        <f>IF($A170="","",_xlfn.MAXIFS(Monitoramento!$B$2:$B$200,Monitoramento!$A$2:$A$200,$A170))</f>
        <v/>
      </c>
      <c r="N170" s="20">
        <f>IF(OR($A170="",M170=0),"",SUMIFS(Monitoramento!$D$2:$D$200,Monitoramento!$A$2:$A$200,$A170,Monitoramento!$B$2:$B$200,M170))</f>
        <v/>
      </c>
      <c r="O170" s="20">
        <f>IF(OR($A170="",M170=0),"",SUMIFS(Monitoramento!$E$2:$E$200,Monitoramento!$A$2:$A$200,$A170,Monitoramento!$B$2:$B$200,M170))</f>
        <v/>
      </c>
      <c r="P170" s="20">
        <f>IF(N170="","",N170*O170)</f>
        <v/>
      </c>
      <c r="Q170" s="21">
        <f>IF(P170="","",IF(P170&gt;=15,"Elevado",IF(P170&gt;=6,"Médio","Baixo")))</f>
        <v/>
      </c>
    </row>
    <row r="171">
      <c r="M171" s="20">
        <f>IF($A171="","",_xlfn.MAXIFS(Monitoramento!$B$2:$B$200,Monitoramento!$A$2:$A$200,$A171))</f>
        <v/>
      </c>
      <c r="N171" s="20">
        <f>IF(OR($A171="",M171=0),"",SUMIFS(Monitoramento!$D$2:$D$200,Monitoramento!$A$2:$A$200,$A171,Monitoramento!$B$2:$B$200,M171))</f>
        <v/>
      </c>
      <c r="O171" s="20">
        <f>IF(OR($A171="",M171=0),"",SUMIFS(Monitoramento!$E$2:$E$200,Monitoramento!$A$2:$A$200,$A171,Monitoramento!$B$2:$B$200,M171))</f>
        <v/>
      </c>
      <c r="P171" s="20">
        <f>IF(N171="","",N171*O171)</f>
        <v/>
      </c>
      <c r="Q171" s="21">
        <f>IF(P171="","",IF(P171&gt;=15,"Elevado",IF(P171&gt;=6,"Médio","Baixo")))</f>
        <v/>
      </c>
    </row>
    <row r="172">
      <c r="M172" s="20">
        <f>IF($A172="","",_xlfn.MAXIFS(Monitoramento!$B$2:$B$200,Monitoramento!$A$2:$A$200,$A172))</f>
        <v/>
      </c>
      <c r="N172" s="20">
        <f>IF(OR($A172="",M172=0),"",SUMIFS(Monitoramento!$D$2:$D$200,Monitoramento!$A$2:$A$200,$A172,Monitoramento!$B$2:$B$200,M172))</f>
        <v/>
      </c>
      <c r="O172" s="20">
        <f>IF(OR($A172="",M172=0),"",SUMIFS(Monitoramento!$E$2:$E$200,Monitoramento!$A$2:$A$200,$A172,Monitoramento!$B$2:$B$200,M172))</f>
        <v/>
      </c>
      <c r="P172" s="20">
        <f>IF(N172="","",N172*O172)</f>
        <v/>
      </c>
      <c r="Q172" s="21">
        <f>IF(P172="","",IF(P172&gt;=15,"Elevado",IF(P172&gt;=6,"Médio","Baixo")))</f>
        <v/>
      </c>
    </row>
    <row r="173">
      <c r="M173" s="20">
        <f>IF($A173="","",_xlfn.MAXIFS(Monitoramento!$B$2:$B$200,Monitoramento!$A$2:$A$200,$A173))</f>
        <v/>
      </c>
      <c r="N173" s="20">
        <f>IF(OR($A173="",M173=0),"",SUMIFS(Monitoramento!$D$2:$D$200,Monitoramento!$A$2:$A$200,$A173,Monitoramento!$B$2:$B$200,M173))</f>
        <v/>
      </c>
      <c r="O173" s="20">
        <f>IF(OR($A173="",M173=0),"",SUMIFS(Monitoramento!$E$2:$E$200,Monitoramento!$A$2:$A$200,$A173,Monitoramento!$B$2:$B$200,M173))</f>
        <v/>
      </c>
      <c r="P173" s="20">
        <f>IF(N173="","",N173*O173)</f>
        <v/>
      </c>
      <c r="Q173" s="21">
        <f>IF(P173="","",IF(P173&gt;=15,"Elevado",IF(P173&gt;=6,"Médio","Baixo")))</f>
        <v/>
      </c>
    </row>
    <row r="174">
      <c r="M174" s="20">
        <f>IF($A174="","",_xlfn.MAXIFS(Monitoramento!$B$2:$B$200,Monitoramento!$A$2:$A$200,$A174))</f>
        <v/>
      </c>
      <c r="N174" s="20">
        <f>IF(OR($A174="",M174=0),"",SUMIFS(Monitoramento!$D$2:$D$200,Monitoramento!$A$2:$A$200,$A174,Monitoramento!$B$2:$B$200,M174))</f>
        <v/>
      </c>
      <c r="O174" s="20">
        <f>IF(OR($A174="",M174=0),"",SUMIFS(Monitoramento!$E$2:$E$200,Monitoramento!$A$2:$A$200,$A174,Monitoramento!$B$2:$B$200,M174))</f>
        <v/>
      </c>
      <c r="P174" s="20">
        <f>IF(N174="","",N174*O174)</f>
        <v/>
      </c>
      <c r="Q174" s="21">
        <f>IF(P174="","",IF(P174&gt;=15,"Elevado",IF(P174&gt;=6,"Médio","Baixo")))</f>
        <v/>
      </c>
    </row>
    <row r="175">
      <c r="M175" s="20">
        <f>IF($A175="","",_xlfn.MAXIFS(Monitoramento!$B$2:$B$200,Monitoramento!$A$2:$A$200,$A175))</f>
        <v/>
      </c>
      <c r="N175" s="20">
        <f>IF(OR($A175="",M175=0),"",SUMIFS(Monitoramento!$D$2:$D$200,Monitoramento!$A$2:$A$200,$A175,Monitoramento!$B$2:$B$200,M175))</f>
        <v/>
      </c>
      <c r="O175" s="20">
        <f>IF(OR($A175="",M175=0),"",SUMIFS(Monitoramento!$E$2:$E$200,Monitoramento!$A$2:$A$200,$A175,Monitoramento!$B$2:$B$200,M175))</f>
        <v/>
      </c>
      <c r="P175" s="20">
        <f>IF(N175="","",N175*O175)</f>
        <v/>
      </c>
      <c r="Q175" s="21">
        <f>IF(P175="","",IF(P175&gt;=15,"Elevado",IF(P175&gt;=6,"Médio","Baixo")))</f>
        <v/>
      </c>
    </row>
    <row r="176">
      <c r="M176" s="20">
        <f>IF($A176="","",_xlfn.MAXIFS(Monitoramento!$B$2:$B$200,Monitoramento!$A$2:$A$200,$A176))</f>
        <v/>
      </c>
      <c r="N176" s="20">
        <f>IF(OR($A176="",M176=0),"",SUMIFS(Monitoramento!$D$2:$D$200,Monitoramento!$A$2:$A$200,$A176,Monitoramento!$B$2:$B$200,M176))</f>
        <v/>
      </c>
      <c r="O176" s="20">
        <f>IF(OR($A176="",M176=0),"",SUMIFS(Monitoramento!$E$2:$E$200,Monitoramento!$A$2:$A$200,$A176,Monitoramento!$B$2:$B$200,M176))</f>
        <v/>
      </c>
      <c r="P176" s="20">
        <f>IF(N176="","",N176*O176)</f>
        <v/>
      </c>
      <c r="Q176" s="21">
        <f>IF(P176="","",IF(P176&gt;=15,"Elevado",IF(P176&gt;=6,"Médio","Baixo")))</f>
        <v/>
      </c>
    </row>
    <row r="177">
      <c r="M177" s="20">
        <f>IF($A177="","",_xlfn.MAXIFS(Monitoramento!$B$2:$B$200,Monitoramento!$A$2:$A$200,$A177))</f>
        <v/>
      </c>
      <c r="N177" s="20">
        <f>IF(OR($A177="",M177=0),"",SUMIFS(Monitoramento!$D$2:$D$200,Monitoramento!$A$2:$A$200,$A177,Monitoramento!$B$2:$B$200,M177))</f>
        <v/>
      </c>
      <c r="O177" s="20">
        <f>IF(OR($A177="",M177=0),"",SUMIFS(Monitoramento!$E$2:$E$200,Monitoramento!$A$2:$A$200,$A177,Monitoramento!$B$2:$B$200,M177))</f>
        <v/>
      </c>
      <c r="P177" s="20">
        <f>IF(N177="","",N177*O177)</f>
        <v/>
      </c>
      <c r="Q177" s="21">
        <f>IF(P177="","",IF(P177&gt;=15,"Elevado",IF(P177&gt;=6,"Médio","Baixo")))</f>
        <v/>
      </c>
    </row>
    <row r="178">
      <c r="M178" s="20">
        <f>IF($A178="","",_xlfn.MAXIFS(Monitoramento!$B$2:$B$200,Monitoramento!$A$2:$A$200,$A178))</f>
        <v/>
      </c>
      <c r="N178" s="20">
        <f>IF(OR($A178="",M178=0),"",SUMIFS(Monitoramento!$D$2:$D$200,Monitoramento!$A$2:$A$200,$A178,Monitoramento!$B$2:$B$200,M178))</f>
        <v/>
      </c>
      <c r="O178" s="20">
        <f>IF(OR($A178="",M178=0),"",SUMIFS(Monitoramento!$E$2:$E$200,Monitoramento!$A$2:$A$200,$A178,Monitoramento!$B$2:$B$200,M178))</f>
        <v/>
      </c>
      <c r="P178" s="20">
        <f>IF(N178="","",N178*O178)</f>
        <v/>
      </c>
      <c r="Q178" s="21">
        <f>IF(P178="","",IF(P178&gt;=15,"Elevado",IF(P178&gt;=6,"Médio","Baixo")))</f>
        <v/>
      </c>
    </row>
    <row r="179">
      <c r="M179" s="20">
        <f>IF($A179="","",_xlfn.MAXIFS(Monitoramento!$B$2:$B$200,Monitoramento!$A$2:$A$200,$A179))</f>
        <v/>
      </c>
      <c r="N179" s="20">
        <f>IF(OR($A179="",M179=0),"",SUMIFS(Monitoramento!$D$2:$D$200,Monitoramento!$A$2:$A$200,$A179,Monitoramento!$B$2:$B$200,M179))</f>
        <v/>
      </c>
      <c r="O179" s="20">
        <f>IF(OR($A179="",M179=0),"",SUMIFS(Monitoramento!$E$2:$E$200,Monitoramento!$A$2:$A$200,$A179,Monitoramento!$B$2:$B$200,M179))</f>
        <v/>
      </c>
      <c r="P179" s="20">
        <f>IF(N179="","",N179*O179)</f>
        <v/>
      </c>
      <c r="Q179" s="21">
        <f>IF(P179="","",IF(P179&gt;=15,"Elevado",IF(P179&gt;=6,"Médio","Baixo")))</f>
        <v/>
      </c>
    </row>
    <row r="180">
      <c r="M180" s="20">
        <f>IF($A180="","",_xlfn.MAXIFS(Monitoramento!$B$2:$B$200,Monitoramento!$A$2:$A$200,$A180))</f>
        <v/>
      </c>
      <c r="N180" s="20">
        <f>IF(OR($A180="",M180=0),"",SUMIFS(Monitoramento!$D$2:$D$200,Monitoramento!$A$2:$A$200,$A180,Monitoramento!$B$2:$B$200,M180))</f>
        <v/>
      </c>
      <c r="O180" s="20">
        <f>IF(OR($A180="",M180=0),"",SUMIFS(Monitoramento!$E$2:$E$200,Monitoramento!$A$2:$A$200,$A180,Monitoramento!$B$2:$B$200,M180))</f>
        <v/>
      </c>
      <c r="P180" s="20">
        <f>IF(N180="","",N180*O180)</f>
        <v/>
      </c>
      <c r="Q180" s="21">
        <f>IF(P180="","",IF(P180&gt;=15,"Elevado",IF(P180&gt;=6,"Médio","Baixo")))</f>
        <v/>
      </c>
    </row>
    <row r="181">
      <c r="M181" s="20">
        <f>IF($A181="","",_xlfn.MAXIFS(Monitoramento!$B$2:$B$200,Monitoramento!$A$2:$A$200,$A181))</f>
        <v/>
      </c>
      <c r="N181" s="20">
        <f>IF(OR($A181="",M181=0),"",SUMIFS(Monitoramento!$D$2:$D$200,Monitoramento!$A$2:$A$200,$A181,Monitoramento!$B$2:$B$200,M181))</f>
        <v/>
      </c>
      <c r="O181" s="20">
        <f>IF(OR($A181="",M181=0),"",SUMIFS(Monitoramento!$E$2:$E$200,Monitoramento!$A$2:$A$200,$A181,Monitoramento!$B$2:$B$200,M181))</f>
        <v/>
      </c>
      <c r="P181" s="20">
        <f>IF(N181="","",N181*O181)</f>
        <v/>
      </c>
      <c r="Q181" s="21">
        <f>IF(P181="","",IF(P181&gt;=15,"Elevado",IF(P181&gt;=6,"Médio","Baixo")))</f>
        <v/>
      </c>
    </row>
    <row r="182">
      <c r="M182" s="20">
        <f>IF($A182="","",_xlfn.MAXIFS(Monitoramento!$B$2:$B$200,Monitoramento!$A$2:$A$200,$A182))</f>
        <v/>
      </c>
      <c r="N182" s="20">
        <f>IF(OR($A182="",M182=0),"",SUMIFS(Monitoramento!$D$2:$D$200,Monitoramento!$A$2:$A$200,$A182,Monitoramento!$B$2:$B$200,M182))</f>
        <v/>
      </c>
      <c r="O182" s="20">
        <f>IF(OR($A182="",M182=0),"",SUMIFS(Monitoramento!$E$2:$E$200,Monitoramento!$A$2:$A$200,$A182,Monitoramento!$B$2:$B$200,M182))</f>
        <v/>
      </c>
      <c r="P182" s="20">
        <f>IF(N182="","",N182*O182)</f>
        <v/>
      </c>
      <c r="Q182" s="21">
        <f>IF(P182="","",IF(P182&gt;=15,"Elevado",IF(P182&gt;=6,"Médio","Baixo")))</f>
        <v/>
      </c>
    </row>
    <row r="183">
      <c r="M183" s="20">
        <f>IF($A183="","",_xlfn.MAXIFS(Monitoramento!$B$2:$B$200,Monitoramento!$A$2:$A$200,$A183))</f>
        <v/>
      </c>
      <c r="N183" s="20">
        <f>IF(OR($A183="",M183=0),"",SUMIFS(Monitoramento!$D$2:$D$200,Monitoramento!$A$2:$A$200,$A183,Monitoramento!$B$2:$B$200,M183))</f>
        <v/>
      </c>
      <c r="O183" s="20">
        <f>IF(OR($A183="",M183=0),"",SUMIFS(Monitoramento!$E$2:$E$200,Monitoramento!$A$2:$A$200,$A183,Monitoramento!$B$2:$B$200,M183))</f>
        <v/>
      </c>
      <c r="P183" s="20">
        <f>IF(N183="","",N183*O183)</f>
        <v/>
      </c>
      <c r="Q183" s="21">
        <f>IF(P183="","",IF(P183&gt;=15,"Elevado",IF(P183&gt;=6,"Médio","Baixo")))</f>
        <v/>
      </c>
    </row>
    <row r="184">
      <c r="M184" s="20">
        <f>IF($A184="","",_xlfn.MAXIFS(Monitoramento!$B$2:$B$200,Monitoramento!$A$2:$A$200,$A184))</f>
        <v/>
      </c>
      <c r="N184" s="20">
        <f>IF(OR($A184="",M184=0),"",SUMIFS(Monitoramento!$D$2:$D$200,Monitoramento!$A$2:$A$200,$A184,Monitoramento!$B$2:$B$200,M184))</f>
        <v/>
      </c>
      <c r="O184" s="20">
        <f>IF(OR($A184="",M184=0),"",SUMIFS(Monitoramento!$E$2:$E$200,Monitoramento!$A$2:$A$200,$A184,Monitoramento!$B$2:$B$200,M184))</f>
        <v/>
      </c>
      <c r="P184" s="20">
        <f>IF(N184="","",N184*O184)</f>
        <v/>
      </c>
      <c r="Q184" s="21">
        <f>IF(P184="","",IF(P184&gt;=15,"Elevado",IF(P184&gt;=6,"Médio","Baixo")))</f>
        <v/>
      </c>
    </row>
    <row r="185">
      <c r="M185" s="20">
        <f>IF($A185="","",_xlfn.MAXIFS(Monitoramento!$B$2:$B$200,Monitoramento!$A$2:$A$200,$A185))</f>
        <v/>
      </c>
      <c r="N185" s="20">
        <f>IF(OR($A185="",M185=0),"",SUMIFS(Monitoramento!$D$2:$D$200,Monitoramento!$A$2:$A$200,$A185,Monitoramento!$B$2:$B$200,M185))</f>
        <v/>
      </c>
      <c r="O185" s="20">
        <f>IF(OR($A185="",M185=0),"",SUMIFS(Monitoramento!$E$2:$E$200,Monitoramento!$A$2:$A$200,$A185,Monitoramento!$B$2:$B$200,M185))</f>
        <v/>
      </c>
      <c r="P185" s="20">
        <f>IF(N185="","",N185*O185)</f>
        <v/>
      </c>
      <c r="Q185" s="21">
        <f>IF(P185="","",IF(P185&gt;=15,"Elevado",IF(P185&gt;=6,"Médio","Baixo")))</f>
        <v/>
      </c>
    </row>
    <row r="186">
      <c r="M186" s="20">
        <f>IF($A186="","",_xlfn.MAXIFS(Monitoramento!$B$2:$B$200,Monitoramento!$A$2:$A$200,$A186))</f>
        <v/>
      </c>
      <c r="N186" s="20">
        <f>IF(OR($A186="",M186=0),"",SUMIFS(Monitoramento!$D$2:$D$200,Monitoramento!$A$2:$A$200,$A186,Monitoramento!$B$2:$B$200,M186))</f>
        <v/>
      </c>
      <c r="O186" s="20">
        <f>IF(OR($A186="",M186=0),"",SUMIFS(Monitoramento!$E$2:$E$200,Monitoramento!$A$2:$A$200,$A186,Monitoramento!$B$2:$B$200,M186))</f>
        <v/>
      </c>
      <c r="P186" s="20">
        <f>IF(N186="","",N186*O186)</f>
        <v/>
      </c>
      <c r="Q186" s="21">
        <f>IF(P186="","",IF(P186&gt;=15,"Elevado",IF(P186&gt;=6,"Médio","Baixo")))</f>
        <v/>
      </c>
    </row>
    <row r="187">
      <c r="M187" s="20">
        <f>IF($A187="","",_xlfn.MAXIFS(Monitoramento!$B$2:$B$200,Monitoramento!$A$2:$A$200,$A187))</f>
        <v/>
      </c>
      <c r="N187" s="20">
        <f>IF(OR($A187="",M187=0),"",SUMIFS(Monitoramento!$D$2:$D$200,Monitoramento!$A$2:$A$200,$A187,Monitoramento!$B$2:$B$200,M187))</f>
        <v/>
      </c>
      <c r="O187" s="20">
        <f>IF(OR($A187="",M187=0),"",SUMIFS(Monitoramento!$E$2:$E$200,Monitoramento!$A$2:$A$200,$A187,Monitoramento!$B$2:$B$200,M187))</f>
        <v/>
      </c>
      <c r="P187" s="20">
        <f>IF(N187="","",N187*O187)</f>
        <v/>
      </c>
      <c r="Q187" s="21">
        <f>IF(P187="","",IF(P187&gt;=15,"Elevado",IF(P187&gt;=6,"Médio","Baixo")))</f>
        <v/>
      </c>
    </row>
    <row r="188">
      <c r="M188" s="20">
        <f>IF($A188="","",_xlfn.MAXIFS(Monitoramento!$B$2:$B$200,Monitoramento!$A$2:$A$200,$A188))</f>
        <v/>
      </c>
      <c r="N188" s="20">
        <f>IF(OR($A188="",M188=0),"",SUMIFS(Monitoramento!$D$2:$D$200,Monitoramento!$A$2:$A$200,$A188,Monitoramento!$B$2:$B$200,M188))</f>
        <v/>
      </c>
      <c r="O188" s="20">
        <f>IF(OR($A188="",M188=0),"",SUMIFS(Monitoramento!$E$2:$E$200,Monitoramento!$A$2:$A$200,$A188,Monitoramento!$B$2:$B$200,M188))</f>
        <v/>
      </c>
      <c r="P188" s="20">
        <f>IF(N188="","",N188*O188)</f>
        <v/>
      </c>
      <c r="Q188" s="21">
        <f>IF(P188="","",IF(P188&gt;=15,"Elevado",IF(P188&gt;=6,"Médio","Baixo")))</f>
        <v/>
      </c>
    </row>
    <row r="189">
      <c r="M189" s="20">
        <f>IF($A189="","",_xlfn.MAXIFS(Monitoramento!$B$2:$B$200,Monitoramento!$A$2:$A$200,$A189))</f>
        <v/>
      </c>
      <c r="N189" s="20">
        <f>IF(OR($A189="",M189=0),"",SUMIFS(Monitoramento!$D$2:$D$200,Monitoramento!$A$2:$A$200,$A189,Monitoramento!$B$2:$B$200,M189))</f>
        <v/>
      </c>
      <c r="O189" s="20">
        <f>IF(OR($A189="",M189=0),"",SUMIFS(Monitoramento!$E$2:$E$200,Monitoramento!$A$2:$A$200,$A189,Monitoramento!$B$2:$B$200,M189))</f>
        <v/>
      </c>
      <c r="P189" s="20">
        <f>IF(N189="","",N189*O189)</f>
        <v/>
      </c>
      <c r="Q189" s="21">
        <f>IF(P189="","",IF(P189&gt;=15,"Elevado",IF(P189&gt;=6,"Médio","Baixo")))</f>
        <v/>
      </c>
    </row>
    <row r="190">
      <c r="M190" s="20">
        <f>IF($A190="","",_xlfn.MAXIFS(Monitoramento!$B$2:$B$200,Monitoramento!$A$2:$A$200,$A190))</f>
        <v/>
      </c>
      <c r="N190" s="20">
        <f>IF(OR($A190="",M190=0),"",SUMIFS(Monitoramento!$D$2:$D$200,Monitoramento!$A$2:$A$200,$A190,Monitoramento!$B$2:$B$200,M190))</f>
        <v/>
      </c>
      <c r="O190" s="20">
        <f>IF(OR($A190="",M190=0),"",SUMIFS(Monitoramento!$E$2:$E$200,Monitoramento!$A$2:$A$200,$A190,Monitoramento!$B$2:$B$200,M190))</f>
        <v/>
      </c>
      <c r="P190" s="20">
        <f>IF(N190="","",N190*O190)</f>
        <v/>
      </c>
      <c r="Q190" s="21">
        <f>IF(P190="","",IF(P190&gt;=15,"Elevado",IF(P190&gt;=6,"Médio","Baixo")))</f>
        <v/>
      </c>
    </row>
    <row r="191">
      <c r="M191" s="20">
        <f>IF($A191="","",_xlfn.MAXIFS(Monitoramento!$B$2:$B$200,Monitoramento!$A$2:$A$200,$A191))</f>
        <v/>
      </c>
      <c r="N191" s="20">
        <f>IF(OR($A191="",M191=0),"",SUMIFS(Monitoramento!$D$2:$D$200,Monitoramento!$A$2:$A$200,$A191,Monitoramento!$B$2:$B$200,M191))</f>
        <v/>
      </c>
      <c r="O191" s="20">
        <f>IF(OR($A191="",M191=0),"",SUMIFS(Monitoramento!$E$2:$E$200,Monitoramento!$A$2:$A$200,$A191,Monitoramento!$B$2:$B$200,M191))</f>
        <v/>
      </c>
      <c r="P191" s="20">
        <f>IF(N191="","",N191*O191)</f>
        <v/>
      </c>
      <c r="Q191" s="21">
        <f>IF(P191="","",IF(P191&gt;=15,"Elevado",IF(P191&gt;=6,"Médio","Baixo")))</f>
        <v/>
      </c>
    </row>
    <row r="192">
      <c r="M192" s="20">
        <f>IF($A192="","",_xlfn.MAXIFS(Monitoramento!$B$2:$B$200,Monitoramento!$A$2:$A$200,$A192))</f>
        <v/>
      </c>
      <c r="N192" s="20">
        <f>IF(OR($A192="",M192=0),"",SUMIFS(Monitoramento!$D$2:$D$200,Monitoramento!$A$2:$A$200,$A192,Monitoramento!$B$2:$B$200,M192))</f>
        <v/>
      </c>
      <c r="O192" s="20">
        <f>IF(OR($A192="",M192=0),"",SUMIFS(Monitoramento!$E$2:$E$200,Monitoramento!$A$2:$A$200,$A192,Monitoramento!$B$2:$B$200,M192))</f>
        <v/>
      </c>
      <c r="P192" s="20">
        <f>IF(N192="","",N192*O192)</f>
        <v/>
      </c>
      <c r="Q192" s="21">
        <f>IF(P192="","",IF(P192&gt;=15,"Elevado",IF(P192&gt;=6,"Médio","Baixo")))</f>
        <v/>
      </c>
    </row>
    <row r="193">
      <c r="M193" s="20">
        <f>IF($A193="","",_xlfn.MAXIFS(Monitoramento!$B$2:$B$200,Monitoramento!$A$2:$A$200,$A193))</f>
        <v/>
      </c>
      <c r="N193" s="20">
        <f>IF(OR($A193="",M193=0),"",SUMIFS(Monitoramento!$D$2:$D$200,Monitoramento!$A$2:$A$200,$A193,Monitoramento!$B$2:$B$200,M193))</f>
        <v/>
      </c>
      <c r="O193" s="20">
        <f>IF(OR($A193="",M193=0),"",SUMIFS(Monitoramento!$E$2:$E$200,Monitoramento!$A$2:$A$200,$A193,Monitoramento!$B$2:$B$200,M193))</f>
        <v/>
      </c>
      <c r="P193" s="20">
        <f>IF(N193="","",N193*O193)</f>
        <v/>
      </c>
      <c r="Q193" s="21">
        <f>IF(P193="","",IF(P193&gt;=15,"Elevado",IF(P193&gt;=6,"Médio","Baixo")))</f>
        <v/>
      </c>
    </row>
    <row r="194">
      <c r="M194" s="20">
        <f>IF($A194="","",_xlfn.MAXIFS(Monitoramento!$B$2:$B$200,Monitoramento!$A$2:$A$200,$A194))</f>
        <v/>
      </c>
      <c r="N194" s="20">
        <f>IF(OR($A194="",M194=0),"",SUMIFS(Monitoramento!$D$2:$D$200,Monitoramento!$A$2:$A$200,$A194,Monitoramento!$B$2:$B$200,M194))</f>
        <v/>
      </c>
      <c r="O194" s="20">
        <f>IF(OR($A194="",M194=0),"",SUMIFS(Monitoramento!$E$2:$E$200,Monitoramento!$A$2:$A$200,$A194,Monitoramento!$B$2:$B$200,M194))</f>
        <v/>
      </c>
      <c r="P194" s="20">
        <f>IF(N194="","",N194*O194)</f>
        <v/>
      </c>
      <c r="Q194" s="21">
        <f>IF(P194="","",IF(P194&gt;=15,"Elevado",IF(P194&gt;=6,"Médio","Baixo")))</f>
        <v/>
      </c>
    </row>
    <row r="195">
      <c r="M195" s="20">
        <f>IF($A195="","",_xlfn.MAXIFS(Monitoramento!$B$2:$B$200,Monitoramento!$A$2:$A$200,$A195))</f>
        <v/>
      </c>
      <c r="N195" s="20">
        <f>IF(OR($A195="",M195=0),"",SUMIFS(Monitoramento!$D$2:$D$200,Monitoramento!$A$2:$A$200,$A195,Monitoramento!$B$2:$B$200,M195))</f>
        <v/>
      </c>
      <c r="O195" s="20">
        <f>IF(OR($A195="",M195=0),"",SUMIFS(Monitoramento!$E$2:$E$200,Monitoramento!$A$2:$A$200,$A195,Monitoramento!$B$2:$B$200,M195))</f>
        <v/>
      </c>
      <c r="P195" s="20">
        <f>IF(N195="","",N195*O195)</f>
        <v/>
      </c>
      <c r="Q195" s="21">
        <f>IF(P195="","",IF(P195&gt;=15,"Elevado",IF(P195&gt;=6,"Médio","Baixo")))</f>
        <v/>
      </c>
    </row>
    <row r="196">
      <c r="M196" s="20">
        <f>IF($A196="","",_xlfn.MAXIFS(Monitoramento!$B$2:$B$200,Monitoramento!$A$2:$A$200,$A196))</f>
        <v/>
      </c>
      <c r="N196" s="20">
        <f>IF(OR($A196="",M196=0),"",SUMIFS(Monitoramento!$D$2:$D$200,Monitoramento!$A$2:$A$200,$A196,Monitoramento!$B$2:$B$200,M196))</f>
        <v/>
      </c>
      <c r="O196" s="20">
        <f>IF(OR($A196="",M196=0),"",SUMIFS(Monitoramento!$E$2:$E$200,Monitoramento!$A$2:$A$200,$A196,Monitoramento!$B$2:$B$200,M196))</f>
        <v/>
      </c>
      <c r="P196" s="20">
        <f>IF(N196="","",N196*O196)</f>
        <v/>
      </c>
      <c r="Q196" s="21">
        <f>IF(P196="","",IF(P196&gt;=15,"Elevado",IF(P196&gt;=6,"Médio","Baixo")))</f>
        <v/>
      </c>
    </row>
    <row r="197">
      <c r="M197" s="20">
        <f>IF($A197="","",_xlfn.MAXIFS(Monitoramento!$B$2:$B$200,Monitoramento!$A$2:$A$200,$A197))</f>
        <v/>
      </c>
      <c r="N197" s="20">
        <f>IF(OR($A197="",M197=0),"",SUMIFS(Monitoramento!$D$2:$D$200,Monitoramento!$A$2:$A$200,$A197,Monitoramento!$B$2:$B$200,M197))</f>
        <v/>
      </c>
      <c r="O197" s="20">
        <f>IF(OR($A197="",M197=0),"",SUMIFS(Monitoramento!$E$2:$E$200,Monitoramento!$A$2:$A$200,$A197,Monitoramento!$B$2:$B$200,M197))</f>
        <v/>
      </c>
      <c r="P197" s="20">
        <f>IF(N197="","",N197*O197)</f>
        <v/>
      </c>
      <c r="Q197" s="21">
        <f>IF(P197="","",IF(P197&gt;=15,"Elevado",IF(P197&gt;=6,"Médio","Baixo")))</f>
        <v/>
      </c>
    </row>
    <row r="198">
      <c r="M198" s="20">
        <f>IF($A198="","",_xlfn.MAXIFS(Monitoramento!$B$2:$B$200,Monitoramento!$A$2:$A$200,$A198))</f>
        <v/>
      </c>
      <c r="N198" s="20">
        <f>IF(OR($A198="",M198=0),"",SUMIFS(Monitoramento!$D$2:$D$200,Monitoramento!$A$2:$A$200,$A198,Monitoramento!$B$2:$B$200,M198))</f>
        <v/>
      </c>
      <c r="O198" s="20">
        <f>IF(OR($A198="",M198=0),"",SUMIFS(Monitoramento!$E$2:$E$200,Monitoramento!$A$2:$A$200,$A198,Monitoramento!$B$2:$B$200,M198))</f>
        <v/>
      </c>
      <c r="P198" s="20">
        <f>IF(N198="","",N198*O198)</f>
        <v/>
      </c>
      <c r="Q198" s="21">
        <f>IF(P198="","",IF(P198&gt;=15,"Elevado",IF(P198&gt;=6,"Médio","Baixo")))</f>
        <v/>
      </c>
    </row>
    <row r="199">
      <c r="M199" s="20">
        <f>IF($A199="","",_xlfn.MAXIFS(Monitoramento!$B$2:$B$200,Monitoramento!$A$2:$A$200,$A199))</f>
        <v/>
      </c>
      <c r="N199" s="20">
        <f>IF(OR($A199="",M199=0),"",SUMIFS(Monitoramento!$D$2:$D$200,Monitoramento!$A$2:$A$200,$A199,Monitoramento!$B$2:$B$200,M199))</f>
        <v/>
      </c>
      <c r="O199" s="20">
        <f>IF(OR($A199="",M199=0),"",SUMIFS(Monitoramento!$E$2:$E$200,Monitoramento!$A$2:$A$200,$A199,Monitoramento!$B$2:$B$200,M199))</f>
        <v/>
      </c>
      <c r="P199" s="20">
        <f>IF(N199="","",N199*O199)</f>
        <v/>
      </c>
      <c r="Q199" s="21">
        <f>IF(P199="","",IF(P199&gt;=15,"Elevado",IF(P199&gt;=6,"Médio","Baixo")))</f>
        <v/>
      </c>
    </row>
    <row r="200">
      <c r="M200" s="20">
        <f>IF($A200="","",_xlfn.MAXIFS(Monitoramento!$B$2:$B$200,Monitoramento!$A$2:$A$200,$A200))</f>
        <v/>
      </c>
      <c r="N200" s="20">
        <f>IF(OR($A200="",M200=0),"",SUMIFS(Monitoramento!$D$2:$D$200,Monitoramento!$A$2:$A$200,$A200,Monitoramento!$B$2:$B$200,M200))</f>
        <v/>
      </c>
      <c r="O200" s="20">
        <f>IF(OR($A200="",M200=0),"",SUMIFS(Monitoramento!$E$2:$E$200,Monitoramento!$A$2:$A$200,$A200,Monitoramento!$B$2:$B$200,M200))</f>
        <v/>
      </c>
      <c r="P200" s="20">
        <f>IF(N200="","",N200*O200)</f>
        <v/>
      </c>
      <c r="Q200" s="21">
        <f>IF(P200="","",IF(P200&gt;=15,"Elevado",IF(P200&gt;=6,"Médio","Baixo")))</f>
        <v/>
      </c>
    </row>
  </sheetData>
  <conditionalFormatting sqref="P2:Q200">
    <cfRule type="expression" priority="1" dxfId="0" stopIfTrue="1">
      <formula>AND($P2&lt;&gt;"",$P2&gt;=15)</formula>
    </cfRule>
    <cfRule type="expression" priority="2" dxfId="1" stopIfTrue="1">
      <formula>AND($P2&lt;&gt;"",$P2&gt;=6)</formula>
    </cfRule>
    <cfRule type="expression" priority="3" dxfId="2" stopIfTrue="1">
      <formula>AND($P2&lt;&gt;"",$P2&gt;=1)</formula>
    </cfRule>
  </conditionalFormatting>
  <dataValidations count="4">
    <dataValidation sqref="B2:B200" showDropDown="0" showInputMessage="0" showErrorMessage="1" allowBlank="1" error="Escolha um valor da lista." type="list">
      <formula1>=Listas!$A$2:$A$5</formula1>
    </dataValidation>
    <dataValidation sqref="G2:G200" showDropDown="0" showInputMessage="0" showErrorMessage="1" allowBlank="1" error="Escolha um valor da lista." type="list">
      <formula1>=Listas!$B$2:$B$6</formula1>
    </dataValidation>
    <dataValidation sqref="J2:J200" showDropDown="0" showInputMessage="1" showErrorMessage="1" allowBlank="1" error="Escolha um valor da lista." prompt="Responsável pelo risco." type="list">
      <formula1>=Listas!$F$2:$F$40</formula1>
    </dataValidation>
    <dataValidation sqref="K2:K200" showDropDown="0" showInputMessage="0" showErrorMessage="1" allowBlank="1" error="Escolha um valor da lista." type="list">
      <formula1>=Listas!$C$2:$C$5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C1C1C"/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6" customWidth="1" min="8" max="8"/>
    <col width="60" customWidth="1" min="9" max="9"/>
  </cols>
  <sheetData>
    <row r="1" ht="42" customHeight="1">
      <c r="A1" s="16" t="inlineStr">
        <is>
          <t>ID do risco</t>
        </is>
      </c>
      <c r="B1" s="16" t="inlineStr">
        <is>
          <t>Sprint</t>
        </is>
      </c>
      <c r="C1" s="16" t="inlineStr">
        <is>
          <t>Data da revisão</t>
        </is>
      </c>
      <c r="D1" s="16" t="inlineStr">
        <is>
          <t>Probabilidade (1 a 5)</t>
        </is>
      </c>
      <c r="E1" s="16" t="inlineStr">
        <is>
          <t>Impacto (1 a 5)</t>
        </is>
      </c>
      <c r="F1" s="17" t="inlineStr">
        <is>
          <t>Exposição</t>
        </is>
      </c>
      <c r="G1" s="17" t="inlineStr">
        <is>
          <t>Nível</t>
        </is>
      </c>
      <c r="H1" s="16" t="inlineStr">
        <is>
          <t>Status</t>
        </is>
      </c>
      <c r="I1" s="16" t="inlineStr">
        <is>
          <t>Observação</t>
        </is>
      </c>
    </row>
    <row r="2">
      <c r="A2" s="18" t="inlineStr">
        <is>
          <t>R01</t>
        </is>
      </c>
      <c r="B2" s="22" t="n">
        <v>3</v>
      </c>
      <c r="C2" s="19" t="n">
        <v>46292</v>
      </c>
      <c r="D2" s="22" t="n">
        <v>4</v>
      </c>
      <c r="E2" s="22" t="n">
        <v>4</v>
      </c>
      <c r="F2" s="20">
        <f>IF(OR(D2="",E2=""),"",D2*E2)</f>
        <v/>
      </c>
      <c r="G2" s="21">
        <f>IF(F2="","",IF(F2&gt;=15,"Elevado",IF(F2&gt;=6,"Médio","Baixo")))</f>
        <v/>
      </c>
      <c r="H2" s="18" t="inlineStr">
        <is>
          <t>Aberto</t>
        </is>
      </c>
      <c r="I2" s="18" t="inlineStr">
        <is>
          <t>Avaliação inicial (identificação dos riscos em 27/09, fim da sprint 3).</t>
        </is>
      </c>
    </row>
    <row r="3">
      <c r="A3" s="18" t="inlineStr">
        <is>
          <t>R02</t>
        </is>
      </c>
      <c r="B3" s="22" t="n">
        <v>3</v>
      </c>
      <c r="C3" s="19" t="n">
        <v>46292</v>
      </c>
      <c r="D3" s="22" t="n">
        <v>4</v>
      </c>
      <c r="E3" s="22" t="n">
        <v>5</v>
      </c>
      <c r="F3" s="20">
        <f>IF(OR(D3="",E3=""),"",D3*E3)</f>
        <v/>
      </c>
      <c r="G3" s="21">
        <f>IF(F3="","",IF(F3&gt;=15,"Elevado",IF(F3&gt;=6,"Médio","Baixo")))</f>
        <v/>
      </c>
      <c r="H3" s="18" t="inlineStr">
        <is>
          <t>Aberto</t>
        </is>
      </c>
      <c r="I3" s="18" t="inlineStr">
        <is>
          <t>Avaliação inicial (identificação dos riscos em 27/09, fim da sprint 3).</t>
        </is>
      </c>
    </row>
    <row r="4">
      <c r="A4" s="18" t="inlineStr">
        <is>
          <t>R03</t>
        </is>
      </c>
      <c r="B4" s="22" t="n">
        <v>3</v>
      </c>
      <c r="C4" s="19" t="n">
        <v>46292</v>
      </c>
      <c r="D4" s="22" t="n">
        <v>4</v>
      </c>
      <c r="E4" s="22" t="n">
        <v>3</v>
      </c>
      <c r="F4" s="20">
        <f>IF(OR(D4="",E4=""),"",D4*E4)</f>
        <v/>
      </c>
      <c r="G4" s="21">
        <f>IF(F4="","",IF(F4&gt;=15,"Elevado",IF(F4&gt;=6,"Médio","Baixo")))</f>
        <v/>
      </c>
      <c r="H4" s="18" t="inlineStr">
        <is>
          <t>Aberto</t>
        </is>
      </c>
      <c r="I4" s="18" t="inlineStr">
        <is>
          <t>Avaliação inicial (identificação dos riscos em 27/09, fim da sprint 3).</t>
        </is>
      </c>
    </row>
    <row r="5">
      <c r="A5" s="18" t="inlineStr">
        <is>
          <t>R04</t>
        </is>
      </c>
      <c r="B5" s="22" t="n">
        <v>3</v>
      </c>
      <c r="C5" s="19" t="n">
        <v>46292</v>
      </c>
      <c r="D5" s="22" t="n">
        <v>3</v>
      </c>
      <c r="E5" s="22" t="n">
        <v>3</v>
      </c>
      <c r="F5" s="20">
        <f>IF(OR(D5="",E5=""),"",D5*E5)</f>
        <v/>
      </c>
      <c r="G5" s="21">
        <f>IF(F5="","",IF(F5&gt;=15,"Elevado",IF(F5&gt;=6,"Médio","Baixo")))</f>
        <v/>
      </c>
      <c r="H5" s="18" t="inlineStr">
        <is>
          <t>Aberto</t>
        </is>
      </c>
      <c r="I5" s="18" t="inlineStr">
        <is>
          <t>Avaliação inicial (identificação dos riscos em 27/09, fim da sprint 3).</t>
        </is>
      </c>
    </row>
    <row r="6">
      <c r="A6" s="18" t="inlineStr">
        <is>
          <t>R05</t>
        </is>
      </c>
      <c r="B6" s="22" t="n">
        <v>3</v>
      </c>
      <c r="C6" s="19" t="n">
        <v>46292</v>
      </c>
      <c r="D6" s="22" t="n">
        <v>3</v>
      </c>
      <c r="E6" s="22" t="n">
        <v>4</v>
      </c>
      <c r="F6" s="20">
        <f>IF(OR(D6="",E6=""),"",D6*E6)</f>
        <v/>
      </c>
      <c r="G6" s="21">
        <f>IF(F6="","",IF(F6&gt;=15,"Elevado",IF(F6&gt;=6,"Médio","Baixo")))</f>
        <v/>
      </c>
      <c r="H6" s="18" t="inlineStr">
        <is>
          <t>Aberto</t>
        </is>
      </c>
      <c r="I6" s="18" t="inlineStr">
        <is>
          <t>Avaliação inicial (identificação dos riscos em 27/09, fim da sprint 3).</t>
        </is>
      </c>
    </row>
    <row r="7">
      <c r="A7" s="18" t="inlineStr">
        <is>
          <t>R06</t>
        </is>
      </c>
      <c r="B7" s="22" t="n">
        <v>3</v>
      </c>
      <c r="C7" s="19" t="n">
        <v>46292</v>
      </c>
      <c r="D7" s="22" t="n">
        <v>3</v>
      </c>
      <c r="E7" s="22" t="n">
        <v>3</v>
      </c>
      <c r="F7" s="20">
        <f>IF(OR(D7="",E7=""),"",D7*E7)</f>
        <v/>
      </c>
      <c r="G7" s="21">
        <f>IF(F7="","",IF(F7&gt;=15,"Elevado",IF(F7&gt;=6,"Médio","Baixo")))</f>
        <v/>
      </c>
      <c r="H7" s="18" t="inlineStr">
        <is>
          <t>Em monitoramento</t>
        </is>
      </c>
      <c r="I7" s="18" t="inlineStr">
        <is>
          <t>Avaliação inicial (identificação dos riscos em 27/09, fim da sprint 3).</t>
        </is>
      </c>
    </row>
    <row r="8">
      <c r="A8" s="18" t="inlineStr">
        <is>
          <t>R07</t>
        </is>
      </c>
      <c r="B8" s="22" t="n">
        <v>3</v>
      </c>
      <c r="C8" s="19" t="n">
        <v>46292</v>
      </c>
      <c r="D8" s="22" t="n">
        <v>4</v>
      </c>
      <c r="E8" s="22" t="n">
        <v>3</v>
      </c>
      <c r="F8" s="20">
        <f>IF(OR(D8="",E8=""),"",D8*E8)</f>
        <v/>
      </c>
      <c r="G8" s="21">
        <f>IF(F8="","",IF(F8&gt;=15,"Elevado",IF(F8&gt;=6,"Médio","Baixo")))</f>
        <v/>
      </c>
      <c r="H8" s="18" t="inlineStr">
        <is>
          <t>Aberto</t>
        </is>
      </c>
      <c r="I8" s="18" t="inlineStr">
        <is>
          <t>Avaliação inicial (identificação dos riscos em 27/09, fim da sprint 3).</t>
        </is>
      </c>
    </row>
    <row r="9">
      <c r="A9" s="18" t="inlineStr">
        <is>
          <t>R08</t>
        </is>
      </c>
      <c r="B9" s="22" t="n">
        <v>3</v>
      </c>
      <c r="C9" s="19" t="n">
        <v>46292</v>
      </c>
      <c r="D9" s="22" t="n">
        <v>4</v>
      </c>
      <c r="E9" s="22" t="n">
        <v>3</v>
      </c>
      <c r="F9" s="20">
        <f>IF(OR(D9="",E9=""),"",D9*E9)</f>
        <v/>
      </c>
      <c r="G9" s="21">
        <f>IF(F9="","",IF(F9&gt;=15,"Elevado",IF(F9&gt;=6,"Médio","Baixo")))</f>
        <v/>
      </c>
      <c r="H9" s="18" t="inlineStr">
        <is>
          <t>Aberto</t>
        </is>
      </c>
      <c r="I9" s="18" t="inlineStr">
        <is>
          <t>Avaliação inicial (identificação dos riscos em 27/09, fim da sprint 3).</t>
        </is>
      </c>
    </row>
    <row r="10">
      <c r="A10" s="18" t="inlineStr">
        <is>
          <t>R09</t>
        </is>
      </c>
      <c r="B10" s="22" t="n">
        <v>3</v>
      </c>
      <c r="C10" s="19" t="n">
        <v>46292</v>
      </c>
      <c r="D10" s="22" t="n">
        <v>4</v>
      </c>
      <c r="E10" s="22" t="n">
        <v>3</v>
      </c>
      <c r="F10" s="20">
        <f>IF(OR(D10="",E10=""),"",D10*E10)</f>
        <v/>
      </c>
      <c r="G10" s="21">
        <f>IF(F10="","",IF(F10&gt;=15,"Elevado",IF(F10&gt;=6,"Médio","Baixo")))</f>
        <v/>
      </c>
      <c r="H10" s="18" t="inlineStr">
        <is>
          <t>Aberto</t>
        </is>
      </c>
      <c r="I10" s="18" t="inlineStr">
        <is>
          <t>Avaliação inicial (identificação dos riscos em 27/09, fim da sprint 3).</t>
        </is>
      </c>
    </row>
    <row r="11">
      <c r="A11" s="18" t="inlineStr">
        <is>
          <t>R10</t>
        </is>
      </c>
      <c r="B11" s="22" t="n">
        <v>3</v>
      </c>
      <c r="C11" s="19" t="n">
        <v>46292</v>
      </c>
      <c r="D11" s="22" t="n">
        <v>5</v>
      </c>
      <c r="E11" s="22" t="n">
        <v>4</v>
      </c>
      <c r="F11" s="20">
        <f>IF(OR(D11="",E11=""),"",D11*E11)</f>
        <v/>
      </c>
      <c r="G11" s="21">
        <f>IF(F11="","",IF(F11&gt;=15,"Elevado",IF(F11&gt;=6,"Médio","Baixo")))</f>
        <v/>
      </c>
      <c r="H11" s="18" t="inlineStr">
        <is>
          <t>Materializado</t>
        </is>
      </c>
      <c r="I11" s="18" t="inlineStr">
        <is>
          <t>Avaliação inicial (identificação dos riscos em 27/09, fim da sprint 3).</t>
        </is>
      </c>
    </row>
    <row r="12">
      <c r="A12" s="18" t="inlineStr">
        <is>
          <t>R11</t>
        </is>
      </c>
      <c r="B12" s="22" t="n">
        <v>3</v>
      </c>
      <c r="C12" s="19" t="n">
        <v>46292</v>
      </c>
      <c r="D12" s="22" t="n">
        <v>5</v>
      </c>
      <c r="E12" s="22" t="n">
        <v>3</v>
      </c>
      <c r="F12" s="20">
        <f>IF(OR(D12="",E12=""),"",D12*E12)</f>
        <v/>
      </c>
      <c r="G12" s="21">
        <f>IF(F12="","",IF(F12&gt;=15,"Elevado",IF(F12&gt;=6,"Médio","Baixo")))</f>
        <v/>
      </c>
      <c r="H12" s="18" t="inlineStr">
        <is>
          <t>Aberto</t>
        </is>
      </c>
      <c r="I12" s="18" t="inlineStr">
        <is>
          <t>Avaliação inicial (identificação dos riscos em 27/09, fim da sprint 3).</t>
        </is>
      </c>
    </row>
    <row r="13">
      <c r="A13" s="18" t="inlineStr">
        <is>
          <t>R12</t>
        </is>
      </c>
      <c r="B13" s="22" t="n">
        <v>3</v>
      </c>
      <c r="C13" s="19" t="n">
        <v>46292</v>
      </c>
      <c r="D13" s="22" t="n">
        <v>4</v>
      </c>
      <c r="E13" s="22" t="n">
        <v>4</v>
      </c>
      <c r="F13" s="20">
        <f>IF(OR(D13="",E13=""),"",D13*E13)</f>
        <v/>
      </c>
      <c r="G13" s="21">
        <f>IF(F13="","",IF(F13&gt;=15,"Elevado",IF(F13&gt;=6,"Médio","Baixo")))</f>
        <v/>
      </c>
      <c r="H13" s="18" t="inlineStr">
        <is>
          <t>Aberto</t>
        </is>
      </c>
      <c r="I13" s="18" t="inlineStr">
        <is>
          <t>Avaliação inicial (identificação dos riscos em 27/09, fim da sprint 3).</t>
        </is>
      </c>
    </row>
    <row r="14">
      <c r="A14" s="18" t="inlineStr">
        <is>
          <t>R13</t>
        </is>
      </c>
      <c r="B14" s="22" t="n">
        <v>3</v>
      </c>
      <c r="C14" s="19" t="n">
        <v>46292</v>
      </c>
      <c r="D14" s="22" t="n">
        <v>5</v>
      </c>
      <c r="E14" s="22" t="n">
        <v>3</v>
      </c>
      <c r="F14" s="20">
        <f>IF(OR(D14="",E14=""),"",D14*E14)</f>
        <v/>
      </c>
      <c r="G14" s="21">
        <f>IF(F14="","",IF(F14&gt;=15,"Elevado",IF(F14&gt;=6,"Médio","Baixo")))</f>
        <v/>
      </c>
      <c r="H14" s="18" t="inlineStr">
        <is>
          <t>Em monitoramento</t>
        </is>
      </c>
      <c r="I14" s="18" t="inlineStr">
        <is>
          <t>Avaliação inicial (identificação dos riscos em 27/09, fim da sprint 3).</t>
        </is>
      </c>
    </row>
    <row r="15">
      <c r="A15" s="18" t="inlineStr">
        <is>
          <t>R14</t>
        </is>
      </c>
      <c r="B15" s="22" t="n">
        <v>3</v>
      </c>
      <c r="C15" s="19" t="n">
        <v>46292</v>
      </c>
      <c r="D15" s="22" t="n">
        <v>4</v>
      </c>
      <c r="E15" s="22" t="n">
        <v>3</v>
      </c>
      <c r="F15" s="20">
        <f>IF(OR(D15="",E15=""),"",D15*E15)</f>
        <v/>
      </c>
      <c r="G15" s="21">
        <f>IF(F15="","",IF(F15&gt;=15,"Elevado",IF(F15&gt;=6,"Médio","Baixo")))</f>
        <v/>
      </c>
      <c r="H15" s="18" t="inlineStr">
        <is>
          <t>Aberto</t>
        </is>
      </c>
      <c r="I15" s="18" t="inlineStr">
        <is>
          <t>Avaliação inicial (identificação dos riscos em 27/09, fim da sprint 3).</t>
        </is>
      </c>
    </row>
    <row r="16">
      <c r="F16" s="20">
        <f>IF(OR(D16="",E16=""),"",D16*E16)</f>
        <v/>
      </c>
      <c r="G16" s="21">
        <f>IF(F16="","",IF(F16&gt;=15,"Elevado",IF(F16&gt;=6,"Médio","Baixo")))</f>
        <v/>
      </c>
    </row>
    <row r="17">
      <c r="F17" s="20">
        <f>IF(OR(D17="",E17=""),"",D17*E17)</f>
        <v/>
      </c>
      <c r="G17" s="21">
        <f>IF(F17="","",IF(F17&gt;=15,"Elevado",IF(F17&gt;=6,"Médio","Baixo")))</f>
        <v/>
      </c>
    </row>
    <row r="18">
      <c r="F18" s="20">
        <f>IF(OR(D18="",E18=""),"",D18*E18)</f>
        <v/>
      </c>
      <c r="G18" s="21">
        <f>IF(F18="","",IF(F18&gt;=15,"Elevado",IF(F18&gt;=6,"Médio","Baixo")))</f>
        <v/>
      </c>
    </row>
    <row r="19">
      <c r="F19" s="20">
        <f>IF(OR(D19="",E19=""),"",D19*E19)</f>
        <v/>
      </c>
      <c r="G19" s="21">
        <f>IF(F19="","",IF(F19&gt;=15,"Elevado",IF(F19&gt;=6,"Médio","Baixo")))</f>
        <v/>
      </c>
    </row>
    <row r="20">
      <c r="F20" s="20">
        <f>IF(OR(D20="",E20=""),"",D20*E20)</f>
        <v/>
      </c>
      <c r="G20" s="21">
        <f>IF(F20="","",IF(F20&gt;=15,"Elevado",IF(F20&gt;=6,"Médio","Baixo")))</f>
        <v/>
      </c>
    </row>
    <row r="21">
      <c r="F21" s="20">
        <f>IF(OR(D21="",E21=""),"",D21*E21)</f>
        <v/>
      </c>
      <c r="G21" s="21">
        <f>IF(F21="","",IF(F21&gt;=15,"Elevado",IF(F21&gt;=6,"Médio","Baixo")))</f>
        <v/>
      </c>
    </row>
    <row r="22">
      <c r="F22" s="20">
        <f>IF(OR(D22="",E22=""),"",D22*E22)</f>
        <v/>
      </c>
      <c r="G22" s="21">
        <f>IF(F22="","",IF(F22&gt;=15,"Elevado",IF(F22&gt;=6,"Médio","Baixo")))</f>
        <v/>
      </c>
    </row>
    <row r="23">
      <c r="F23" s="20">
        <f>IF(OR(D23="",E23=""),"",D23*E23)</f>
        <v/>
      </c>
      <c r="G23" s="21">
        <f>IF(F23="","",IF(F23&gt;=15,"Elevado",IF(F23&gt;=6,"Médio","Baixo")))</f>
        <v/>
      </c>
    </row>
    <row r="24">
      <c r="F24" s="20">
        <f>IF(OR(D24="",E24=""),"",D24*E24)</f>
        <v/>
      </c>
      <c r="G24" s="21">
        <f>IF(F24="","",IF(F24&gt;=15,"Elevado",IF(F24&gt;=6,"Médio","Baixo")))</f>
        <v/>
      </c>
    </row>
    <row r="25">
      <c r="F25" s="20">
        <f>IF(OR(D25="",E25=""),"",D25*E25)</f>
        <v/>
      </c>
      <c r="G25" s="21">
        <f>IF(F25="","",IF(F25&gt;=15,"Elevado",IF(F25&gt;=6,"Médio","Baixo")))</f>
        <v/>
      </c>
    </row>
    <row r="26">
      <c r="F26" s="20">
        <f>IF(OR(D26="",E26=""),"",D26*E26)</f>
        <v/>
      </c>
      <c r="G26" s="21">
        <f>IF(F26="","",IF(F26&gt;=15,"Elevado",IF(F26&gt;=6,"Médio","Baixo")))</f>
        <v/>
      </c>
    </row>
    <row r="27">
      <c r="F27" s="20">
        <f>IF(OR(D27="",E27=""),"",D27*E27)</f>
        <v/>
      </c>
      <c r="G27" s="21">
        <f>IF(F27="","",IF(F27&gt;=15,"Elevado",IF(F27&gt;=6,"Médio","Baixo")))</f>
        <v/>
      </c>
    </row>
    <row r="28">
      <c r="F28" s="20">
        <f>IF(OR(D28="",E28=""),"",D28*E28)</f>
        <v/>
      </c>
      <c r="G28" s="21">
        <f>IF(F28="","",IF(F28&gt;=15,"Elevado",IF(F28&gt;=6,"Médio","Baixo")))</f>
        <v/>
      </c>
    </row>
    <row r="29">
      <c r="F29" s="20">
        <f>IF(OR(D29="",E29=""),"",D29*E29)</f>
        <v/>
      </c>
      <c r="G29" s="21">
        <f>IF(F29="","",IF(F29&gt;=15,"Elevado",IF(F29&gt;=6,"Médio","Baixo")))</f>
        <v/>
      </c>
    </row>
    <row r="30">
      <c r="F30" s="20">
        <f>IF(OR(D30="",E30=""),"",D30*E30)</f>
        <v/>
      </c>
      <c r="G30" s="21">
        <f>IF(F30="","",IF(F30&gt;=15,"Elevado",IF(F30&gt;=6,"Médio","Baixo")))</f>
        <v/>
      </c>
    </row>
    <row r="31">
      <c r="F31" s="20">
        <f>IF(OR(D31="",E31=""),"",D31*E31)</f>
        <v/>
      </c>
      <c r="G31" s="21">
        <f>IF(F31="","",IF(F31&gt;=15,"Elevado",IF(F31&gt;=6,"Médio","Baixo")))</f>
        <v/>
      </c>
    </row>
    <row r="32">
      <c r="F32" s="20">
        <f>IF(OR(D32="",E32=""),"",D32*E32)</f>
        <v/>
      </c>
      <c r="G32" s="21">
        <f>IF(F32="","",IF(F32&gt;=15,"Elevado",IF(F32&gt;=6,"Médio","Baixo")))</f>
        <v/>
      </c>
    </row>
    <row r="33">
      <c r="F33" s="20">
        <f>IF(OR(D33="",E33=""),"",D33*E33)</f>
        <v/>
      </c>
      <c r="G33" s="21">
        <f>IF(F33="","",IF(F33&gt;=15,"Elevado",IF(F33&gt;=6,"Médio","Baixo")))</f>
        <v/>
      </c>
    </row>
    <row r="34">
      <c r="F34" s="20">
        <f>IF(OR(D34="",E34=""),"",D34*E34)</f>
        <v/>
      </c>
      <c r="G34" s="21">
        <f>IF(F34="","",IF(F34&gt;=15,"Elevado",IF(F34&gt;=6,"Médio","Baixo")))</f>
        <v/>
      </c>
    </row>
    <row r="35">
      <c r="F35" s="20">
        <f>IF(OR(D35="",E35=""),"",D35*E35)</f>
        <v/>
      </c>
      <c r="G35" s="21">
        <f>IF(F35="","",IF(F35&gt;=15,"Elevado",IF(F35&gt;=6,"Médio","Baixo")))</f>
        <v/>
      </c>
    </row>
    <row r="36">
      <c r="F36" s="20">
        <f>IF(OR(D36="",E36=""),"",D36*E36)</f>
        <v/>
      </c>
      <c r="G36" s="21">
        <f>IF(F36="","",IF(F36&gt;=15,"Elevado",IF(F36&gt;=6,"Médio","Baixo")))</f>
        <v/>
      </c>
    </row>
    <row r="37">
      <c r="F37" s="20">
        <f>IF(OR(D37="",E37=""),"",D37*E37)</f>
        <v/>
      </c>
      <c r="G37" s="21">
        <f>IF(F37="","",IF(F37&gt;=15,"Elevado",IF(F37&gt;=6,"Médio","Baixo")))</f>
        <v/>
      </c>
    </row>
    <row r="38">
      <c r="F38" s="20">
        <f>IF(OR(D38="",E38=""),"",D38*E38)</f>
        <v/>
      </c>
      <c r="G38" s="21">
        <f>IF(F38="","",IF(F38&gt;=15,"Elevado",IF(F38&gt;=6,"Médio","Baixo")))</f>
        <v/>
      </c>
    </row>
    <row r="39">
      <c r="F39" s="20">
        <f>IF(OR(D39="",E39=""),"",D39*E39)</f>
        <v/>
      </c>
      <c r="G39" s="21">
        <f>IF(F39="","",IF(F39&gt;=15,"Elevado",IF(F39&gt;=6,"Médio","Baixo")))</f>
        <v/>
      </c>
    </row>
    <row r="40">
      <c r="F40" s="20">
        <f>IF(OR(D40="",E40=""),"",D40*E40)</f>
        <v/>
      </c>
      <c r="G40" s="21">
        <f>IF(F40="","",IF(F40&gt;=15,"Elevado",IF(F40&gt;=6,"Médio","Baixo")))</f>
        <v/>
      </c>
    </row>
    <row r="41">
      <c r="F41" s="20">
        <f>IF(OR(D41="",E41=""),"",D41*E41)</f>
        <v/>
      </c>
      <c r="G41" s="21">
        <f>IF(F41="","",IF(F41&gt;=15,"Elevado",IF(F41&gt;=6,"Médio","Baixo")))</f>
        <v/>
      </c>
    </row>
    <row r="42">
      <c r="F42" s="20">
        <f>IF(OR(D42="",E42=""),"",D42*E42)</f>
        <v/>
      </c>
      <c r="G42" s="21">
        <f>IF(F42="","",IF(F42&gt;=15,"Elevado",IF(F42&gt;=6,"Médio","Baixo")))</f>
        <v/>
      </c>
    </row>
    <row r="43">
      <c r="F43" s="20">
        <f>IF(OR(D43="",E43=""),"",D43*E43)</f>
        <v/>
      </c>
      <c r="G43" s="21">
        <f>IF(F43="","",IF(F43&gt;=15,"Elevado",IF(F43&gt;=6,"Médio","Baixo")))</f>
        <v/>
      </c>
    </row>
    <row r="44">
      <c r="F44" s="20">
        <f>IF(OR(D44="",E44=""),"",D44*E44)</f>
        <v/>
      </c>
      <c r="G44" s="21">
        <f>IF(F44="","",IF(F44&gt;=15,"Elevado",IF(F44&gt;=6,"Médio","Baixo")))</f>
        <v/>
      </c>
    </row>
    <row r="45">
      <c r="F45" s="20">
        <f>IF(OR(D45="",E45=""),"",D45*E45)</f>
        <v/>
      </c>
      <c r="G45" s="21">
        <f>IF(F45="","",IF(F45&gt;=15,"Elevado",IF(F45&gt;=6,"Médio","Baixo")))</f>
        <v/>
      </c>
    </row>
    <row r="46">
      <c r="F46" s="20">
        <f>IF(OR(D46="",E46=""),"",D46*E46)</f>
        <v/>
      </c>
      <c r="G46" s="21">
        <f>IF(F46="","",IF(F46&gt;=15,"Elevado",IF(F46&gt;=6,"Médio","Baixo")))</f>
        <v/>
      </c>
    </row>
    <row r="47">
      <c r="F47" s="20">
        <f>IF(OR(D47="",E47=""),"",D47*E47)</f>
        <v/>
      </c>
      <c r="G47" s="21">
        <f>IF(F47="","",IF(F47&gt;=15,"Elevado",IF(F47&gt;=6,"Médio","Baixo")))</f>
        <v/>
      </c>
    </row>
    <row r="48">
      <c r="F48" s="20">
        <f>IF(OR(D48="",E48=""),"",D48*E48)</f>
        <v/>
      </c>
      <c r="G48" s="21">
        <f>IF(F48="","",IF(F48&gt;=15,"Elevado",IF(F48&gt;=6,"Médio","Baixo")))</f>
        <v/>
      </c>
    </row>
    <row r="49">
      <c r="F49" s="20">
        <f>IF(OR(D49="",E49=""),"",D49*E49)</f>
        <v/>
      </c>
      <c r="G49" s="21">
        <f>IF(F49="","",IF(F49&gt;=15,"Elevado",IF(F49&gt;=6,"Médio","Baixo")))</f>
        <v/>
      </c>
    </row>
    <row r="50">
      <c r="F50" s="20">
        <f>IF(OR(D50="",E50=""),"",D50*E50)</f>
        <v/>
      </c>
      <c r="G50" s="21">
        <f>IF(F50="","",IF(F50&gt;=15,"Elevado",IF(F50&gt;=6,"Médio","Baixo")))</f>
        <v/>
      </c>
    </row>
    <row r="51">
      <c r="F51" s="20">
        <f>IF(OR(D51="",E51=""),"",D51*E51)</f>
        <v/>
      </c>
      <c r="G51" s="21">
        <f>IF(F51="","",IF(F51&gt;=15,"Elevado",IF(F51&gt;=6,"Médio","Baixo")))</f>
        <v/>
      </c>
    </row>
    <row r="52">
      <c r="F52" s="20">
        <f>IF(OR(D52="",E52=""),"",D52*E52)</f>
        <v/>
      </c>
      <c r="G52" s="21">
        <f>IF(F52="","",IF(F52&gt;=15,"Elevado",IF(F52&gt;=6,"Médio","Baixo")))</f>
        <v/>
      </c>
    </row>
    <row r="53">
      <c r="F53" s="20">
        <f>IF(OR(D53="",E53=""),"",D53*E53)</f>
        <v/>
      </c>
      <c r="G53" s="21">
        <f>IF(F53="","",IF(F53&gt;=15,"Elevado",IF(F53&gt;=6,"Médio","Baixo")))</f>
        <v/>
      </c>
    </row>
    <row r="54">
      <c r="F54" s="20">
        <f>IF(OR(D54="",E54=""),"",D54*E54)</f>
        <v/>
      </c>
      <c r="G54" s="21">
        <f>IF(F54="","",IF(F54&gt;=15,"Elevado",IF(F54&gt;=6,"Médio","Baixo")))</f>
        <v/>
      </c>
    </row>
    <row r="55">
      <c r="F55" s="20">
        <f>IF(OR(D55="",E55=""),"",D55*E55)</f>
        <v/>
      </c>
      <c r="G55" s="21">
        <f>IF(F55="","",IF(F55&gt;=15,"Elevado",IF(F55&gt;=6,"Médio","Baixo")))</f>
        <v/>
      </c>
    </row>
    <row r="56">
      <c r="F56" s="20">
        <f>IF(OR(D56="",E56=""),"",D56*E56)</f>
        <v/>
      </c>
      <c r="G56" s="21">
        <f>IF(F56="","",IF(F56&gt;=15,"Elevado",IF(F56&gt;=6,"Médio","Baixo")))</f>
        <v/>
      </c>
    </row>
    <row r="57">
      <c r="F57" s="20">
        <f>IF(OR(D57="",E57=""),"",D57*E57)</f>
        <v/>
      </c>
      <c r="G57" s="21">
        <f>IF(F57="","",IF(F57&gt;=15,"Elevado",IF(F57&gt;=6,"Médio","Baixo")))</f>
        <v/>
      </c>
    </row>
    <row r="58">
      <c r="F58" s="20">
        <f>IF(OR(D58="",E58=""),"",D58*E58)</f>
        <v/>
      </c>
      <c r="G58" s="21">
        <f>IF(F58="","",IF(F58&gt;=15,"Elevado",IF(F58&gt;=6,"Médio","Baixo")))</f>
        <v/>
      </c>
    </row>
    <row r="59">
      <c r="F59" s="20">
        <f>IF(OR(D59="",E59=""),"",D59*E59)</f>
        <v/>
      </c>
      <c r="G59" s="21">
        <f>IF(F59="","",IF(F59&gt;=15,"Elevado",IF(F59&gt;=6,"Médio","Baixo")))</f>
        <v/>
      </c>
    </row>
    <row r="60">
      <c r="F60" s="20">
        <f>IF(OR(D60="",E60=""),"",D60*E60)</f>
        <v/>
      </c>
      <c r="G60" s="21">
        <f>IF(F60="","",IF(F60&gt;=15,"Elevado",IF(F60&gt;=6,"Médio","Baixo")))</f>
        <v/>
      </c>
    </row>
    <row r="61">
      <c r="F61" s="20">
        <f>IF(OR(D61="",E61=""),"",D61*E61)</f>
        <v/>
      </c>
      <c r="G61" s="21">
        <f>IF(F61="","",IF(F61&gt;=15,"Elevado",IF(F61&gt;=6,"Médio","Baixo")))</f>
        <v/>
      </c>
    </row>
    <row r="62">
      <c r="F62" s="20">
        <f>IF(OR(D62="",E62=""),"",D62*E62)</f>
        <v/>
      </c>
      <c r="G62" s="21">
        <f>IF(F62="","",IF(F62&gt;=15,"Elevado",IF(F62&gt;=6,"Médio","Baixo")))</f>
        <v/>
      </c>
    </row>
    <row r="63">
      <c r="F63" s="20">
        <f>IF(OR(D63="",E63=""),"",D63*E63)</f>
        <v/>
      </c>
      <c r="G63" s="21">
        <f>IF(F63="","",IF(F63&gt;=15,"Elevado",IF(F63&gt;=6,"Médio","Baixo")))</f>
        <v/>
      </c>
    </row>
    <row r="64">
      <c r="F64" s="20">
        <f>IF(OR(D64="",E64=""),"",D64*E64)</f>
        <v/>
      </c>
      <c r="G64" s="21">
        <f>IF(F64="","",IF(F64&gt;=15,"Elevado",IF(F64&gt;=6,"Médio","Baixo")))</f>
        <v/>
      </c>
    </row>
    <row r="65">
      <c r="F65" s="20">
        <f>IF(OR(D65="",E65=""),"",D65*E65)</f>
        <v/>
      </c>
      <c r="G65" s="21">
        <f>IF(F65="","",IF(F65&gt;=15,"Elevado",IF(F65&gt;=6,"Médio","Baixo")))</f>
        <v/>
      </c>
    </row>
    <row r="66">
      <c r="F66" s="20">
        <f>IF(OR(D66="",E66=""),"",D66*E66)</f>
        <v/>
      </c>
      <c r="G66" s="21">
        <f>IF(F66="","",IF(F66&gt;=15,"Elevado",IF(F66&gt;=6,"Médio","Baixo")))</f>
        <v/>
      </c>
    </row>
    <row r="67">
      <c r="F67" s="20">
        <f>IF(OR(D67="",E67=""),"",D67*E67)</f>
        <v/>
      </c>
      <c r="G67" s="21">
        <f>IF(F67="","",IF(F67&gt;=15,"Elevado",IF(F67&gt;=6,"Médio","Baixo")))</f>
        <v/>
      </c>
    </row>
    <row r="68">
      <c r="F68" s="20">
        <f>IF(OR(D68="",E68=""),"",D68*E68)</f>
        <v/>
      </c>
      <c r="G68" s="21">
        <f>IF(F68="","",IF(F68&gt;=15,"Elevado",IF(F68&gt;=6,"Médio","Baixo")))</f>
        <v/>
      </c>
    </row>
    <row r="69">
      <c r="F69" s="20">
        <f>IF(OR(D69="",E69=""),"",D69*E69)</f>
        <v/>
      </c>
      <c r="G69" s="21">
        <f>IF(F69="","",IF(F69&gt;=15,"Elevado",IF(F69&gt;=6,"Médio","Baixo")))</f>
        <v/>
      </c>
    </row>
    <row r="70">
      <c r="F70" s="20">
        <f>IF(OR(D70="",E70=""),"",D70*E70)</f>
        <v/>
      </c>
      <c r="G70" s="21">
        <f>IF(F70="","",IF(F70&gt;=15,"Elevado",IF(F70&gt;=6,"Médio","Baixo")))</f>
        <v/>
      </c>
    </row>
    <row r="71">
      <c r="F71" s="20">
        <f>IF(OR(D71="",E71=""),"",D71*E71)</f>
        <v/>
      </c>
      <c r="G71" s="21">
        <f>IF(F71="","",IF(F71&gt;=15,"Elevado",IF(F71&gt;=6,"Médio","Baixo")))</f>
        <v/>
      </c>
    </row>
    <row r="72">
      <c r="F72" s="20">
        <f>IF(OR(D72="",E72=""),"",D72*E72)</f>
        <v/>
      </c>
      <c r="G72" s="21">
        <f>IF(F72="","",IF(F72&gt;=15,"Elevado",IF(F72&gt;=6,"Médio","Baixo")))</f>
        <v/>
      </c>
    </row>
    <row r="73">
      <c r="F73" s="20">
        <f>IF(OR(D73="",E73=""),"",D73*E73)</f>
        <v/>
      </c>
      <c r="G73" s="21">
        <f>IF(F73="","",IF(F73&gt;=15,"Elevado",IF(F73&gt;=6,"Médio","Baixo")))</f>
        <v/>
      </c>
    </row>
    <row r="74">
      <c r="F74" s="20">
        <f>IF(OR(D74="",E74=""),"",D74*E74)</f>
        <v/>
      </c>
      <c r="G74" s="21">
        <f>IF(F74="","",IF(F74&gt;=15,"Elevado",IF(F74&gt;=6,"Médio","Baixo")))</f>
        <v/>
      </c>
    </row>
    <row r="75">
      <c r="F75" s="20">
        <f>IF(OR(D75="",E75=""),"",D75*E75)</f>
        <v/>
      </c>
      <c r="G75" s="21">
        <f>IF(F75="","",IF(F75&gt;=15,"Elevado",IF(F75&gt;=6,"Médio","Baixo")))</f>
        <v/>
      </c>
    </row>
    <row r="76">
      <c r="F76" s="20">
        <f>IF(OR(D76="",E76=""),"",D76*E76)</f>
        <v/>
      </c>
      <c r="G76" s="21">
        <f>IF(F76="","",IF(F76&gt;=15,"Elevado",IF(F76&gt;=6,"Médio","Baixo")))</f>
        <v/>
      </c>
    </row>
    <row r="77">
      <c r="F77" s="20">
        <f>IF(OR(D77="",E77=""),"",D77*E77)</f>
        <v/>
      </c>
      <c r="G77" s="21">
        <f>IF(F77="","",IF(F77&gt;=15,"Elevado",IF(F77&gt;=6,"Médio","Baixo")))</f>
        <v/>
      </c>
    </row>
    <row r="78">
      <c r="F78" s="20">
        <f>IF(OR(D78="",E78=""),"",D78*E78)</f>
        <v/>
      </c>
      <c r="G78" s="21">
        <f>IF(F78="","",IF(F78&gt;=15,"Elevado",IF(F78&gt;=6,"Médio","Baixo")))</f>
        <v/>
      </c>
    </row>
    <row r="79">
      <c r="F79" s="20">
        <f>IF(OR(D79="",E79=""),"",D79*E79)</f>
        <v/>
      </c>
      <c r="G79" s="21">
        <f>IF(F79="","",IF(F79&gt;=15,"Elevado",IF(F79&gt;=6,"Médio","Baixo")))</f>
        <v/>
      </c>
    </row>
    <row r="80">
      <c r="F80" s="20">
        <f>IF(OR(D80="",E80=""),"",D80*E80)</f>
        <v/>
      </c>
      <c r="G80" s="21">
        <f>IF(F80="","",IF(F80&gt;=15,"Elevado",IF(F80&gt;=6,"Médio","Baixo")))</f>
        <v/>
      </c>
    </row>
    <row r="81">
      <c r="F81" s="20">
        <f>IF(OR(D81="",E81=""),"",D81*E81)</f>
        <v/>
      </c>
      <c r="G81" s="21">
        <f>IF(F81="","",IF(F81&gt;=15,"Elevado",IF(F81&gt;=6,"Médio","Baixo")))</f>
        <v/>
      </c>
    </row>
    <row r="82">
      <c r="F82" s="20">
        <f>IF(OR(D82="",E82=""),"",D82*E82)</f>
        <v/>
      </c>
      <c r="G82" s="21">
        <f>IF(F82="","",IF(F82&gt;=15,"Elevado",IF(F82&gt;=6,"Médio","Baixo")))</f>
        <v/>
      </c>
    </row>
    <row r="83">
      <c r="F83" s="20">
        <f>IF(OR(D83="",E83=""),"",D83*E83)</f>
        <v/>
      </c>
      <c r="G83" s="21">
        <f>IF(F83="","",IF(F83&gt;=15,"Elevado",IF(F83&gt;=6,"Médio","Baixo")))</f>
        <v/>
      </c>
    </row>
    <row r="84">
      <c r="F84" s="20">
        <f>IF(OR(D84="",E84=""),"",D84*E84)</f>
        <v/>
      </c>
      <c r="G84" s="21">
        <f>IF(F84="","",IF(F84&gt;=15,"Elevado",IF(F84&gt;=6,"Médio","Baixo")))</f>
        <v/>
      </c>
    </row>
    <row r="85">
      <c r="F85" s="20">
        <f>IF(OR(D85="",E85=""),"",D85*E85)</f>
        <v/>
      </c>
      <c r="G85" s="21">
        <f>IF(F85="","",IF(F85&gt;=15,"Elevado",IF(F85&gt;=6,"Médio","Baixo")))</f>
        <v/>
      </c>
    </row>
    <row r="86">
      <c r="F86" s="20">
        <f>IF(OR(D86="",E86=""),"",D86*E86)</f>
        <v/>
      </c>
      <c r="G86" s="21">
        <f>IF(F86="","",IF(F86&gt;=15,"Elevado",IF(F86&gt;=6,"Médio","Baixo")))</f>
        <v/>
      </c>
    </row>
    <row r="87">
      <c r="F87" s="20">
        <f>IF(OR(D87="",E87=""),"",D87*E87)</f>
        <v/>
      </c>
      <c r="G87" s="21">
        <f>IF(F87="","",IF(F87&gt;=15,"Elevado",IF(F87&gt;=6,"Médio","Baixo")))</f>
        <v/>
      </c>
    </row>
    <row r="88">
      <c r="F88" s="20">
        <f>IF(OR(D88="",E88=""),"",D88*E88)</f>
        <v/>
      </c>
      <c r="G88" s="21">
        <f>IF(F88="","",IF(F88&gt;=15,"Elevado",IF(F88&gt;=6,"Médio","Baixo")))</f>
        <v/>
      </c>
    </row>
    <row r="89">
      <c r="F89" s="20">
        <f>IF(OR(D89="",E89=""),"",D89*E89)</f>
        <v/>
      </c>
      <c r="G89" s="21">
        <f>IF(F89="","",IF(F89&gt;=15,"Elevado",IF(F89&gt;=6,"Médio","Baixo")))</f>
        <v/>
      </c>
    </row>
    <row r="90">
      <c r="F90" s="20">
        <f>IF(OR(D90="",E90=""),"",D90*E90)</f>
        <v/>
      </c>
      <c r="G90" s="21">
        <f>IF(F90="","",IF(F90&gt;=15,"Elevado",IF(F90&gt;=6,"Médio","Baixo")))</f>
        <v/>
      </c>
    </row>
    <row r="91">
      <c r="F91" s="20">
        <f>IF(OR(D91="",E91=""),"",D91*E91)</f>
        <v/>
      </c>
      <c r="G91" s="21">
        <f>IF(F91="","",IF(F91&gt;=15,"Elevado",IF(F91&gt;=6,"Médio","Baixo")))</f>
        <v/>
      </c>
    </row>
    <row r="92">
      <c r="F92" s="20">
        <f>IF(OR(D92="",E92=""),"",D92*E92)</f>
        <v/>
      </c>
      <c r="G92" s="21">
        <f>IF(F92="","",IF(F92&gt;=15,"Elevado",IF(F92&gt;=6,"Médio","Baixo")))</f>
        <v/>
      </c>
    </row>
    <row r="93">
      <c r="F93" s="20">
        <f>IF(OR(D93="",E93=""),"",D93*E93)</f>
        <v/>
      </c>
      <c r="G93" s="21">
        <f>IF(F93="","",IF(F93&gt;=15,"Elevado",IF(F93&gt;=6,"Médio","Baixo")))</f>
        <v/>
      </c>
    </row>
    <row r="94">
      <c r="F94" s="20">
        <f>IF(OR(D94="",E94=""),"",D94*E94)</f>
        <v/>
      </c>
      <c r="G94" s="21">
        <f>IF(F94="","",IF(F94&gt;=15,"Elevado",IF(F94&gt;=6,"Médio","Baixo")))</f>
        <v/>
      </c>
    </row>
    <row r="95">
      <c r="F95" s="20">
        <f>IF(OR(D95="",E95=""),"",D95*E95)</f>
        <v/>
      </c>
      <c r="G95" s="21">
        <f>IF(F95="","",IF(F95&gt;=15,"Elevado",IF(F95&gt;=6,"Médio","Baixo")))</f>
        <v/>
      </c>
    </row>
    <row r="96">
      <c r="F96" s="20">
        <f>IF(OR(D96="",E96=""),"",D96*E96)</f>
        <v/>
      </c>
      <c r="G96" s="21">
        <f>IF(F96="","",IF(F96&gt;=15,"Elevado",IF(F96&gt;=6,"Médio","Baixo")))</f>
        <v/>
      </c>
    </row>
    <row r="97">
      <c r="F97" s="20">
        <f>IF(OR(D97="",E97=""),"",D97*E97)</f>
        <v/>
      </c>
      <c r="G97" s="21">
        <f>IF(F97="","",IF(F97&gt;=15,"Elevado",IF(F97&gt;=6,"Médio","Baixo")))</f>
        <v/>
      </c>
    </row>
    <row r="98">
      <c r="F98" s="20">
        <f>IF(OR(D98="",E98=""),"",D98*E98)</f>
        <v/>
      </c>
      <c r="G98" s="21">
        <f>IF(F98="","",IF(F98&gt;=15,"Elevado",IF(F98&gt;=6,"Médio","Baixo")))</f>
        <v/>
      </c>
    </row>
    <row r="99">
      <c r="F99" s="20">
        <f>IF(OR(D99="",E99=""),"",D99*E99)</f>
        <v/>
      </c>
      <c r="G99" s="21">
        <f>IF(F99="","",IF(F99&gt;=15,"Elevado",IF(F99&gt;=6,"Médio","Baixo")))</f>
        <v/>
      </c>
    </row>
    <row r="100">
      <c r="F100" s="20">
        <f>IF(OR(D100="",E100=""),"",D100*E100)</f>
        <v/>
      </c>
      <c r="G100" s="21">
        <f>IF(F100="","",IF(F100&gt;=15,"Elevado",IF(F100&gt;=6,"Médio","Baixo")))</f>
        <v/>
      </c>
    </row>
    <row r="101">
      <c r="F101" s="20">
        <f>IF(OR(D101="",E101=""),"",D101*E101)</f>
        <v/>
      </c>
      <c r="G101" s="21">
        <f>IF(F101="","",IF(F101&gt;=15,"Elevado",IF(F101&gt;=6,"Médio","Baixo")))</f>
        <v/>
      </c>
    </row>
    <row r="102">
      <c r="F102" s="20">
        <f>IF(OR(D102="",E102=""),"",D102*E102)</f>
        <v/>
      </c>
      <c r="G102" s="21">
        <f>IF(F102="","",IF(F102&gt;=15,"Elevado",IF(F102&gt;=6,"Médio","Baixo")))</f>
        <v/>
      </c>
    </row>
    <row r="103">
      <c r="F103" s="20">
        <f>IF(OR(D103="",E103=""),"",D103*E103)</f>
        <v/>
      </c>
      <c r="G103" s="21">
        <f>IF(F103="","",IF(F103&gt;=15,"Elevado",IF(F103&gt;=6,"Médio","Baixo")))</f>
        <v/>
      </c>
    </row>
    <row r="104">
      <c r="F104" s="20">
        <f>IF(OR(D104="",E104=""),"",D104*E104)</f>
        <v/>
      </c>
      <c r="G104" s="21">
        <f>IF(F104="","",IF(F104&gt;=15,"Elevado",IF(F104&gt;=6,"Médio","Baixo")))</f>
        <v/>
      </c>
    </row>
    <row r="105">
      <c r="F105" s="20">
        <f>IF(OR(D105="",E105=""),"",D105*E105)</f>
        <v/>
      </c>
      <c r="G105" s="21">
        <f>IF(F105="","",IF(F105&gt;=15,"Elevado",IF(F105&gt;=6,"Médio","Baixo")))</f>
        <v/>
      </c>
    </row>
    <row r="106">
      <c r="F106" s="20">
        <f>IF(OR(D106="",E106=""),"",D106*E106)</f>
        <v/>
      </c>
      <c r="G106" s="21">
        <f>IF(F106="","",IF(F106&gt;=15,"Elevado",IF(F106&gt;=6,"Médio","Baixo")))</f>
        <v/>
      </c>
    </row>
    <row r="107">
      <c r="F107" s="20">
        <f>IF(OR(D107="",E107=""),"",D107*E107)</f>
        <v/>
      </c>
      <c r="G107" s="21">
        <f>IF(F107="","",IF(F107&gt;=15,"Elevado",IF(F107&gt;=6,"Médio","Baixo")))</f>
        <v/>
      </c>
    </row>
    <row r="108">
      <c r="F108" s="20">
        <f>IF(OR(D108="",E108=""),"",D108*E108)</f>
        <v/>
      </c>
      <c r="G108" s="21">
        <f>IF(F108="","",IF(F108&gt;=15,"Elevado",IF(F108&gt;=6,"Médio","Baixo")))</f>
        <v/>
      </c>
    </row>
    <row r="109">
      <c r="F109" s="20">
        <f>IF(OR(D109="",E109=""),"",D109*E109)</f>
        <v/>
      </c>
      <c r="G109" s="21">
        <f>IF(F109="","",IF(F109&gt;=15,"Elevado",IF(F109&gt;=6,"Médio","Baixo")))</f>
        <v/>
      </c>
    </row>
    <row r="110">
      <c r="F110" s="20">
        <f>IF(OR(D110="",E110=""),"",D110*E110)</f>
        <v/>
      </c>
      <c r="G110" s="21">
        <f>IF(F110="","",IF(F110&gt;=15,"Elevado",IF(F110&gt;=6,"Médio","Baixo")))</f>
        <v/>
      </c>
    </row>
    <row r="111">
      <c r="F111" s="20">
        <f>IF(OR(D111="",E111=""),"",D111*E111)</f>
        <v/>
      </c>
      <c r="G111" s="21">
        <f>IF(F111="","",IF(F111&gt;=15,"Elevado",IF(F111&gt;=6,"Médio","Baixo")))</f>
        <v/>
      </c>
    </row>
    <row r="112">
      <c r="F112" s="20">
        <f>IF(OR(D112="",E112=""),"",D112*E112)</f>
        <v/>
      </c>
      <c r="G112" s="21">
        <f>IF(F112="","",IF(F112&gt;=15,"Elevado",IF(F112&gt;=6,"Médio","Baixo")))</f>
        <v/>
      </c>
    </row>
    <row r="113">
      <c r="F113" s="20">
        <f>IF(OR(D113="",E113=""),"",D113*E113)</f>
        <v/>
      </c>
      <c r="G113" s="21">
        <f>IF(F113="","",IF(F113&gt;=15,"Elevado",IF(F113&gt;=6,"Médio","Baixo")))</f>
        <v/>
      </c>
    </row>
    <row r="114">
      <c r="F114" s="20">
        <f>IF(OR(D114="",E114=""),"",D114*E114)</f>
        <v/>
      </c>
      <c r="G114" s="21">
        <f>IF(F114="","",IF(F114&gt;=15,"Elevado",IF(F114&gt;=6,"Médio","Baixo")))</f>
        <v/>
      </c>
    </row>
    <row r="115">
      <c r="F115" s="20">
        <f>IF(OR(D115="",E115=""),"",D115*E115)</f>
        <v/>
      </c>
      <c r="G115" s="21">
        <f>IF(F115="","",IF(F115&gt;=15,"Elevado",IF(F115&gt;=6,"Médio","Baixo")))</f>
        <v/>
      </c>
    </row>
    <row r="116">
      <c r="F116" s="20">
        <f>IF(OR(D116="",E116=""),"",D116*E116)</f>
        <v/>
      </c>
      <c r="G116" s="21">
        <f>IF(F116="","",IF(F116&gt;=15,"Elevado",IF(F116&gt;=6,"Médio","Baixo")))</f>
        <v/>
      </c>
    </row>
    <row r="117">
      <c r="F117" s="20">
        <f>IF(OR(D117="",E117=""),"",D117*E117)</f>
        <v/>
      </c>
      <c r="G117" s="21">
        <f>IF(F117="","",IF(F117&gt;=15,"Elevado",IF(F117&gt;=6,"Médio","Baixo")))</f>
        <v/>
      </c>
    </row>
    <row r="118">
      <c r="F118" s="20">
        <f>IF(OR(D118="",E118=""),"",D118*E118)</f>
        <v/>
      </c>
      <c r="G118" s="21">
        <f>IF(F118="","",IF(F118&gt;=15,"Elevado",IF(F118&gt;=6,"Médio","Baixo")))</f>
        <v/>
      </c>
    </row>
    <row r="119">
      <c r="F119" s="20">
        <f>IF(OR(D119="",E119=""),"",D119*E119)</f>
        <v/>
      </c>
      <c r="G119" s="21">
        <f>IF(F119="","",IF(F119&gt;=15,"Elevado",IF(F119&gt;=6,"Médio","Baixo")))</f>
        <v/>
      </c>
    </row>
    <row r="120">
      <c r="F120" s="20">
        <f>IF(OR(D120="",E120=""),"",D120*E120)</f>
        <v/>
      </c>
      <c r="G120" s="21">
        <f>IF(F120="","",IF(F120&gt;=15,"Elevado",IF(F120&gt;=6,"Médio","Baixo")))</f>
        <v/>
      </c>
    </row>
    <row r="121">
      <c r="F121" s="20">
        <f>IF(OR(D121="",E121=""),"",D121*E121)</f>
        <v/>
      </c>
      <c r="G121" s="21">
        <f>IF(F121="","",IF(F121&gt;=15,"Elevado",IF(F121&gt;=6,"Médio","Baixo")))</f>
        <v/>
      </c>
    </row>
    <row r="122">
      <c r="F122" s="20">
        <f>IF(OR(D122="",E122=""),"",D122*E122)</f>
        <v/>
      </c>
      <c r="G122" s="21">
        <f>IF(F122="","",IF(F122&gt;=15,"Elevado",IF(F122&gt;=6,"Médio","Baixo")))</f>
        <v/>
      </c>
    </row>
    <row r="123">
      <c r="F123" s="20">
        <f>IF(OR(D123="",E123=""),"",D123*E123)</f>
        <v/>
      </c>
      <c r="G123" s="21">
        <f>IF(F123="","",IF(F123&gt;=15,"Elevado",IF(F123&gt;=6,"Médio","Baixo")))</f>
        <v/>
      </c>
    </row>
    <row r="124">
      <c r="F124" s="20">
        <f>IF(OR(D124="",E124=""),"",D124*E124)</f>
        <v/>
      </c>
      <c r="G124" s="21">
        <f>IF(F124="","",IF(F124&gt;=15,"Elevado",IF(F124&gt;=6,"Médio","Baixo")))</f>
        <v/>
      </c>
    </row>
    <row r="125">
      <c r="F125" s="20">
        <f>IF(OR(D125="",E125=""),"",D125*E125)</f>
        <v/>
      </c>
      <c r="G125" s="21">
        <f>IF(F125="","",IF(F125&gt;=15,"Elevado",IF(F125&gt;=6,"Médio","Baixo")))</f>
        <v/>
      </c>
    </row>
    <row r="126">
      <c r="F126" s="20">
        <f>IF(OR(D126="",E126=""),"",D126*E126)</f>
        <v/>
      </c>
      <c r="G126" s="21">
        <f>IF(F126="","",IF(F126&gt;=15,"Elevado",IF(F126&gt;=6,"Médio","Baixo")))</f>
        <v/>
      </c>
    </row>
    <row r="127">
      <c r="F127" s="20">
        <f>IF(OR(D127="",E127=""),"",D127*E127)</f>
        <v/>
      </c>
      <c r="G127" s="21">
        <f>IF(F127="","",IF(F127&gt;=15,"Elevado",IF(F127&gt;=6,"Médio","Baixo")))</f>
        <v/>
      </c>
    </row>
    <row r="128">
      <c r="F128" s="20">
        <f>IF(OR(D128="",E128=""),"",D128*E128)</f>
        <v/>
      </c>
      <c r="G128" s="21">
        <f>IF(F128="","",IF(F128&gt;=15,"Elevado",IF(F128&gt;=6,"Médio","Baixo")))</f>
        <v/>
      </c>
    </row>
    <row r="129">
      <c r="F129" s="20">
        <f>IF(OR(D129="",E129=""),"",D129*E129)</f>
        <v/>
      </c>
      <c r="G129" s="21">
        <f>IF(F129="","",IF(F129&gt;=15,"Elevado",IF(F129&gt;=6,"Médio","Baixo")))</f>
        <v/>
      </c>
    </row>
    <row r="130">
      <c r="F130" s="20">
        <f>IF(OR(D130="",E130=""),"",D130*E130)</f>
        <v/>
      </c>
      <c r="G130" s="21">
        <f>IF(F130="","",IF(F130&gt;=15,"Elevado",IF(F130&gt;=6,"Médio","Baixo")))</f>
        <v/>
      </c>
    </row>
    <row r="131">
      <c r="F131" s="20">
        <f>IF(OR(D131="",E131=""),"",D131*E131)</f>
        <v/>
      </c>
      <c r="G131" s="21">
        <f>IF(F131="","",IF(F131&gt;=15,"Elevado",IF(F131&gt;=6,"Médio","Baixo")))</f>
        <v/>
      </c>
    </row>
    <row r="132">
      <c r="F132" s="20">
        <f>IF(OR(D132="",E132=""),"",D132*E132)</f>
        <v/>
      </c>
      <c r="G132" s="21">
        <f>IF(F132="","",IF(F132&gt;=15,"Elevado",IF(F132&gt;=6,"Médio","Baixo")))</f>
        <v/>
      </c>
    </row>
    <row r="133">
      <c r="F133" s="20">
        <f>IF(OR(D133="",E133=""),"",D133*E133)</f>
        <v/>
      </c>
      <c r="G133" s="21">
        <f>IF(F133="","",IF(F133&gt;=15,"Elevado",IF(F133&gt;=6,"Médio","Baixo")))</f>
        <v/>
      </c>
    </row>
    <row r="134">
      <c r="F134" s="20">
        <f>IF(OR(D134="",E134=""),"",D134*E134)</f>
        <v/>
      </c>
      <c r="G134" s="21">
        <f>IF(F134="","",IF(F134&gt;=15,"Elevado",IF(F134&gt;=6,"Médio","Baixo")))</f>
        <v/>
      </c>
    </row>
    <row r="135">
      <c r="F135" s="20">
        <f>IF(OR(D135="",E135=""),"",D135*E135)</f>
        <v/>
      </c>
      <c r="G135" s="21">
        <f>IF(F135="","",IF(F135&gt;=15,"Elevado",IF(F135&gt;=6,"Médio","Baixo")))</f>
        <v/>
      </c>
    </row>
    <row r="136">
      <c r="F136" s="20">
        <f>IF(OR(D136="",E136=""),"",D136*E136)</f>
        <v/>
      </c>
      <c r="G136" s="21">
        <f>IF(F136="","",IF(F136&gt;=15,"Elevado",IF(F136&gt;=6,"Médio","Baixo")))</f>
        <v/>
      </c>
    </row>
    <row r="137">
      <c r="F137" s="20">
        <f>IF(OR(D137="",E137=""),"",D137*E137)</f>
        <v/>
      </c>
      <c r="G137" s="21">
        <f>IF(F137="","",IF(F137&gt;=15,"Elevado",IF(F137&gt;=6,"Médio","Baixo")))</f>
        <v/>
      </c>
    </row>
    <row r="138">
      <c r="F138" s="20">
        <f>IF(OR(D138="",E138=""),"",D138*E138)</f>
        <v/>
      </c>
      <c r="G138" s="21">
        <f>IF(F138="","",IF(F138&gt;=15,"Elevado",IF(F138&gt;=6,"Médio","Baixo")))</f>
        <v/>
      </c>
    </row>
    <row r="139">
      <c r="F139" s="20">
        <f>IF(OR(D139="",E139=""),"",D139*E139)</f>
        <v/>
      </c>
      <c r="G139" s="21">
        <f>IF(F139="","",IF(F139&gt;=15,"Elevado",IF(F139&gt;=6,"Médio","Baixo")))</f>
        <v/>
      </c>
    </row>
    <row r="140">
      <c r="F140" s="20">
        <f>IF(OR(D140="",E140=""),"",D140*E140)</f>
        <v/>
      </c>
      <c r="G140" s="21">
        <f>IF(F140="","",IF(F140&gt;=15,"Elevado",IF(F140&gt;=6,"Médio","Baixo")))</f>
        <v/>
      </c>
    </row>
    <row r="141">
      <c r="F141" s="20">
        <f>IF(OR(D141="",E141=""),"",D141*E141)</f>
        <v/>
      </c>
      <c r="G141" s="21">
        <f>IF(F141="","",IF(F141&gt;=15,"Elevado",IF(F141&gt;=6,"Médio","Baixo")))</f>
        <v/>
      </c>
    </row>
    <row r="142">
      <c r="F142" s="20">
        <f>IF(OR(D142="",E142=""),"",D142*E142)</f>
        <v/>
      </c>
      <c r="G142" s="21">
        <f>IF(F142="","",IF(F142&gt;=15,"Elevado",IF(F142&gt;=6,"Médio","Baixo")))</f>
        <v/>
      </c>
    </row>
    <row r="143">
      <c r="F143" s="20">
        <f>IF(OR(D143="",E143=""),"",D143*E143)</f>
        <v/>
      </c>
      <c r="G143" s="21">
        <f>IF(F143="","",IF(F143&gt;=15,"Elevado",IF(F143&gt;=6,"Médio","Baixo")))</f>
        <v/>
      </c>
    </row>
    <row r="144">
      <c r="F144" s="20">
        <f>IF(OR(D144="",E144=""),"",D144*E144)</f>
        <v/>
      </c>
      <c r="G144" s="21">
        <f>IF(F144="","",IF(F144&gt;=15,"Elevado",IF(F144&gt;=6,"Médio","Baixo")))</f>
        <v/>
      </c>
    </row>
    <row r="145">
      <c r="F145" s="20">
        <f>IF(OR(D145="",E145=""),"",D145*E145)</f>
        <v/>
      </c>
      <c r="G145" s="21">
        <f>IF(F145="","",IF(F145&gt;=15,"Elevado",IF(F145&gt;=6,"Médio","Baixo")))</f>
        <v/>
      </c>
    </row>
    <row r="146">
      <c r="F146" s="20">
        <f>IF(OR(D146="",E146=""),"",D146*E146)</f>
        <v/>
      </c>
      <c r="G146" s="21">
        <f>IF(F146="","",IF(F146&gt;=15,"Elevado",IF(F146&gt;=6,"Médio","Baixo")))</f>
        <v/>
      </c>
    </row>
    <row r="147">
      <c r="F147" s="20">
        <f>IF(OR(D147="",E147=""),"",D147*E147)</f>
        <v/>
      </c>
      <c r="G147" s="21">
        <f>IF(F147="","",IF(F147&gt;=15,"Elevado",IF(F147&gt;=6,"Médio","Baixo")))</f>
        <v/>
      </c>
    </row>
    <row r="148">
      <c r="F148" s="20">
        <f>IF(OR(D148="",E148=""),"",D148*E148)</f>
        <v/>
      </c>
      <c r="G148" s="21">
        <f>IF(F148="","",IF(F148&gt;=15,"Elevado",IF(F148&gt;=6,"Médio","Baixo")))</f>
        <v/>
      </c>
    </row>
    <row r="149">
      <c r="F149" s="20">
        <f>IF(OR(D149="",E149=""),"",D149*E149)</f>
        <v/>
      </c>
      <c r="G149" s="21">
        <f>IF(F149="","",IF(F149&gt;=15,"Elevado",IF(F149&gt;=6,"Médio","Baixo")))</f>
        <v/>
      </c>
    </row>
    <row r="150">
      <c r="F150" s="20">
        <f>IF(OR(D150="",E150=""),"",D150*E150)</f>
        <v/>
      </c>
      <c r="G150" s="21">
        <f>IF(F150="","",IF(F150&gt;=15,"Elevado",IF(F150&gt;=6,"Médio","Baixo")))</f>
        <v/>
      </c>
    </row>
    <row r="151">
      <c r="F151" s="20">
        <f>IF(OR(D151="",E151=""),"",D151*E151)</f>
        <v/>
      </c>
      <c r="G151" s="21">
        <f>IF(F151="","",IF(F151&gt;=15,"Elevado",IF(F151&gt;=6,"Médio","Baixo")))</f>
        <v/>
      </c>
    </row>
    <row r="152">
      <c r="F152" s="20">
        <f>IF(OR(D152="",E152=""),"",D152*E152)</f>
        <v/>
      </c>
      <c r="G152" s="21">
        <f>IF(F152="","",IF(F152&gt;=15,"Elevado",IF(F152&gt;=6,"Médio","Baixo")))</f>
        <v/>
      </c>
    </row>
    <row r="153">
      <c r="F153" s="20">
        <f>IF(OR(D153="",E153=""),"",D153*E153)</f>
        <v/>
      </c>
      <c r="G153" s="21">
        <f>IF(F153="","",IF(F153&gt;=15,"Elevado",IF(F153&gt;=6,"Médio","Baixo")))</f>
        <v/>
      </c>
    </row>
    <row r="154">
      <c r="F154" s="20">
        <f>IF(OR(D154="",E154=""),"",D154*E154)</f>
        <v/>
      </c>
      <c r="G154" s="21">
        <f>IF(F154="","",IF(F154&gt;=15,"Elevado",IF(F154&gt;=6,"Médio","Baixo")))</f>
        <v/>
      </c>
    </row>
    <row r="155">
      <c r="F155" s="20">
        <f>IF(OR(D155="",E155=""),"",D155*E155)</f>
        <v/>
      </c>
      <c r="G155" s="21">
        <f>IF(F155="","",IF(F155&gt;=15,"Elevado",IF(F155&gt;=6,"Médio","Baixo")))</f>
        <v/>
      </c>
    </row>
    <row r="156">
      <c r="F156" s="20">
        <f>IF(OR(D156="",E156=""),"",D156*E156)</f>
        <v/>
      </c>
      <c r="G156" s="21">
        <f>IF(F156="","",IF(F156&gt;=15,"Elevado",IF(F156&gt;=6,"Médio","Baixo")))</f>
        <v/>
      </c>
    </row>
    <row r="157">
      <c r="F157" s="20">
        <f>IF(OR(D157="",E157=""),"",D157*E157)</f>
        <v/>
      </c>
      <c r="G157" s="21">
        <f>IF(F157="","",IF(F157&gt;=15,"Elevado",IF(F157&gt;=6,"Médio","Baixo")))</f>
        <v/>
      </c>
    </row>
    <row r="158">
      <c r="F158" s="20">
        <f>IF(OR(D158="",E158=""),"",D158*E158)</f>
        <v/>
      </c>
      <c r="G158" s="21">
        <f>IF(F158="","",IF(F158&gt;=15,"Elevado",IF(F158&gt;=6,"Médio","Baixo")))</f>
        <v/>
      </c>
    </row>
    <row r="159">
      <c r="F159" s="20">
        <f>IF(OR(D159="",E159=""),"",D159*E159)</f>
        <v/>
      </c>
      <c r="G159" s="21">
        <f>IF(F159="","",IF(F159&gt;=15,"Elevado",IF(F159&gt;=6,"Médio","Baixo")))</f>
        <v/>
      </c>
    </row>
    <row r="160">
      <c r="F160" s="20">
        <f>IF(OR(D160="",E160=""),"",D160*E160)</f>
        <v/>
      </c>
      <c r="G160" s="21">
        <f>IF(F160="","",IF(F160&gt;=15,"Elevado",IF(F160&gt;=6,"Médio","Baixo")))</f>
        <v/>
      </c>
    </row>
    <row r="161">
      <c r="F161" s="20">
        <f>IF(OR(D161="",E161=""),"",D161*E161)</f>
        <v/>
      </c>
      <c r="G161" s="21">
        <f>IF(F161="","",IF(F161&gt;=15,"Elevado",IF(F161&gt;=6,"Médio","Baixo")))</f>
        <v/>
      </c>
    </row>
    <row r="162">
      <c r="F162" s="20">
        <f>IF(OR(D162="",E162=""),"",D162*E162)</f>
        <v/>
      </c>
      <c r="G162" s="21">
        <f>IF(F162="","",IF(F162&gt;=15,"Elevado",IF(F162&gt;=6,"Médio","Baixo")))</f>
        <v/>
      </c>
    </row>
    <row r="163">
      <c r="F163" s="20">
        <f>IF(OR(D163="",E163=""),"",D163*E163)</f>
        <v/>
      </c>
      <c r="G163" s="21">
        <f>IF(F163="","",IF(F163&gt;=15,"Elevado",IF(F163&gt;=6,"Médio","Baixo")))</f>
        <v/>
      </c>
    </row>
    <row r="164">
      <c r="F164" s="20">
        <f>IF(OR(D164="",E164=""),"",D164*E164)</f>
        <v/>
      </c>
      <c r="G164" s="21">
        <f>IF(F164="","",IF(F164&gt;=15,"Elevado",IF(F164&gt;=6,"Médio","Baixo")))</f>
        <v/>
      </c>
    </row>
    <row r="165">
      <c r="F165" s="20">
        <f>IF(OR(D165="",E165=""),"",D165*E165)</f>
        <v/>
      </c>
      <c r="G165" s="21">
        <f>IF(F165="","",IF(F165&gt;=15,"Elevado",IF(F165&gt;=6,"Médio","Baixo")))</f>
        <v/>
      </c>
    </row>
    <row r="166">
      <c r="F166" s="20">
        <f>IF(OR(D166="",E166=""),"",D166*E166)</f>
        <v/>
      </c>
      <c r="G166" s="21">
        <f>IF(F166="","",IF(F166&gt;=15,"Elevado",IF(F166&gt;=6,"Médio","Baixo")))</f>
        <v/>
      </c>
    </row>
    <row r="167">
      <c r="F167" s="20">
        <f>IF(OR(D167="",E167=""),"",D167*E167)</f>
        <v/>
      </c>
      <c r="G167" s="21">
        <f>IF(F167="","",IF(F167&gt;=15,"Elevado",IF(F167&gt;=6,"Médio","Baixo")))</f>
        <v/>
      </c>
    </row>
    <row r="168">
      <c r="F168" s="20">
        <f>IF(OR(D168="",E168=""),"",D168*E168)</f>
        <v/>
      </c>
      <c r="G168" s="21">
        <f>IF(F168="","",IF(F168&gt;=15,"Elevado",IF(F168&gt;=6,"Médio","Baixo")))</f>
        <v/>
      </c>
    </row>
    <row r="169">
      <c r="F169" s="20">
        <f>IF(OR(D169="",E169=""),"",D169*E169)</f>
        <v/>
      </c>
      <c r="G169" s="21">
        <f>IF(F169="","",IF(F169&gt;=15,"Elevado",IF(F169&gt;=6,"Médio","Baixo")))</f>
        <v/>
      </c>
    </row>
    <row r="170">
      <c r="F170" s="20">
        <f>IF(OR(D170="",E170=""),"",D170*E170)</f>
        <v/>
      </c>
      <c r="G170" s="21">
        <f>IF(F170="","",IF(F170&gt;=15,"Elevado",IF(F170&gt;=6,"Médio","Baixo")))</f>
        <v/>
      </c>
    </row>
    <row r="171">
      <c r="F171" s="20">
        <f>IF(OR(D171="",E171=""),"",D171*E171)</f>
        <v/>
      </c>
      <c r="G171" s="21">
        <f>IF(F171="","",IF(F171&gt;=15,"Elevado",IF(F171&gt;=6,"Médio","Baixo")))</f>
        <v/>
      </c>
    </row>
    <row r="172">
      <c r="F172" s="20">
        <f>IF(OR(D172="",E172=""),"",D172*E172)</f>
        <v/>
      </c>
      <c r="G172" s="21">
        <f>IF(F172="","",IF(F172&gt;=15,"Elevado",IF(F172&gt;=6,"Médio","Baixo")))</f>
        <v/>
      </c>
    </row>
    <row r="173">
      <c r="F173" s="20">
        <f>IF(OR(D173="",E173=""),"",D173*E173)</f>
        <v/>
      </c>
      <c r="G173" s="21">
        <f>IF(F173="","",IF(F173&gt;=15,"Elevado",IF(F173&gt;=6,"Médio","Baixo")))</f>
        <v/>
      </c>
    </row>
    <row r="174">
      <c r="F174" s="20">
        <f>IF(OR(D174="",E174=""),"",D174*E174)</f>
        <v/>
      </c>
      <c r="G174" s="21">
        <f>IF(F174="","",IF(F174&gt;=15,"Elevado",IF(F174&gt;=6,"Médio","Baixo")))</f>
        <v/>
      </c>
    </row>
    <row r="175">
      <c r="F175" s="20">
        <f>IF(OR(D175="",E175=""),"",D175*E175)</f>
        <v/>
      </c>
      <c r="G175" s="21">
        <f>IF(F175="","",IF(F175&gt;=15,"Elevado",IF(F175&gt;=6,"Médio","Baixo")))</f>
        <v/>
      </c>
    </row>
    <row r="176">
      <c r="F176" s="20">
        <f>IF(OR(D176="",E176=""),"",D176*E176)</f>
        <v/>
      </c>
      <c r="G176" s="21">
        <f>IF(F176="","",IF(F176&gt;=15,"Elevado",IF(F176&gt;=6,"Médio","Baixo")))</f>
        <v/>
      </c>
    </row>
    <row r="177">
      <c r="F177" s="20">
        <f>IF(OR(D177="",E177=""),"",D177*E177)</f>
        <v/>
      </c>
      <c r="G177" s="21">
        <f>IF(F177="","",IF(F177&gt;=15,"Elevado",IF(F177&gt;=6,"Médio","Baixo")))</f>
        <v/>
      </c>
    </row>
    <row r="178">
      <c r="F178" s="20">
        <f>IF(OR(D178="",E178=""),"",D178*E178)</f>
        <v/>
      </c>
      <c r="G178" s="21">
        <f>IF(F178="","",IF(F178&gt;=15,"Elevado",IF(F178&gt;=6,"Médio","Baixo")))</f>
        <v/>
      </c>
    </row>
    <row r="179">
      <c r="F179" s="20">
        <f>IF(OR(D179="",E179=""),"",D179*E179)</f>
        <v/>
      </c>
      <c r="G179" s="21">
        <f>IF(F179="","",IF(F179&gt;=15,"Elevado",IF(F179&gt;=6,"Médio","Baixo")))</f>
        <v/>
      </c>
    </row>
    <row r="180">
      <c r="F180" s="20">
        <f>IF(OR(D180="",E180=""),"",D180*E180)</f>
        <v/>
      </c>
      <c r="G180" s="21">
        <f>IF(F180="","",IF(F180&gt;=15,"Elevado",IF(F180&gt;=6,"Médio","Baixo")))</f>
        <v/>
      </c>
    </row>
    <row r="181">
      <c r="F181" s="20">
        <f>IF(OR(D181="",E181=""),"",D181*E181)</f>
        <v/>
      </c>
      <c r="G181" s="21">
        <f>IF(F181="","",IF(F181&gt;=15,"Elevado",IF(F181&gt;=6,"Médio","Baixo")))</f>
        <v/>
      </c>
    </row>
    <row r="182">
      <c r="F182" s="20">
        <f>IF(OR(D182="",E182=""),"",D182*E182)</f>
        <v/>
      </c>
      <c r="G182" s="21">
        <f>IF(F182="","",IF(F182&gt;=15,"Elevado",IF(F182&gt;=6,"Médio","Baixo")))</f>
        <v/>
      </c>
    </row>
    <row r="183">
      <c r="F183" s="20">
        <f>IF(OR(D183="",E183=""),"",D183*E183)</f>
        <v/>
      </c>
      <c r="G183" s="21">
        <f>IF(F183="","",IF(F183&gt;=15,"Elevado",IF(F183&gt;=6,"Médio","Baixo")))</f>
        <v/>
      </c>
    </row>
    <row r="184">
      <c r="F184" s="20">
        <f>IF(OR(D184="",E184=""),"",D184*E184)</f>
        <v/>
      </c>
      <c r="G184" s="21">
        <f>IF(F184="","",IF(F184&gt;=15,"Elevado",IF(F184&gt;=6,"Médio","Baixo")))</f>
        <v/>
      </c>
    </row>
    <row r="185">
      <c r="F185" s="20">
        <f>IF(OR(D185="",E185=""),"",D185*E185)</f>
        <v/>
      </c>
      <c r="G185" s="21">
        <f>IF(F185="","",IF(F185&gt;=15,"Elevado",IF(F185&gt;=6,"Médio","Baixo")))</f>
        <v/>
      </c>
    </row>
    <row r="186">
      <c r="F186" s="20">
        <f>IF(OR(D186="",E186=""),"",D186*E186)</f>
        <v/>
      </c>
      <c r="G186" s="21">
        <f>IF(F186="","",IF(F186&gt;=15,"Elevado",IF(F186&gt;=6,"Médio","Baixo")))</f>
        <v/>
      </c>
    </row>
    <row r="187">
      <c r="F187" s="20">
        <f>IF(OR(D187="",E187=""),"",D187*E187)</f>
        <v/>
      </c>
      <c r="G187" s="21">
        <f>IF(F187="","",IF(F187&gt;=15,"Elevado",IF(F187&gt;=6,"Médio","Baixo")))</f>
        <v/>
      </c>
    </row>
    <row r="188">
      <c r="F188" s="20">
        <f>IF(OR(D188="",E188=""),"",D188*E188)</f>
        <v/>
      </c>
      <c r="G188" s="21">
        <f>IF(F188="","",IF(F188&gt;=15,"Elevado",IF(F188&gt;=6,"Médio","Baixo")))</f>
        <v/>
      </c>
    </row>
    <row r="189">
      <c r="F189" s="20">
        <f>IF(OR(D189="",E189=""),"",D189*E189)</f>
        <v/>
      </c>
      <c r="G189" s="21">
        <f>IF(F189="","",IF(F189&gt;=15,"Elevado",IF(F189&gt;=6,"Médio","Baixo")))</f>
        <v/>
      </c>
    </row>
    <row r="190">
      <c r="F190" s="20">
        <f>IF(OR(D190="",E190=""),"",D190*E190)</f>
        <v/>
      </c>
      <c r="G190" s="21">
        <f>IF(F190="","",IF(F190&gt;=15,"Elevado",IF(F190&gt;=6,"Médio","Baixo")))</f>
        <v/>
      </c>
    </row>
    <row r="191">
      <c r="F191" s="20">
        <f>IF(OR(D191="",E191=""),"",D191*E191)</f>
        <v/>
      </c>
      <c r="G191" s="21">
        <f>IF(F191="","",IF(F191&gt;=15,"Elevado",IF(F191&gt;=6,"Médio","Baixo")))</f>
        <v/>
      </c>
    </row>
    <row r="192">
      <c r="F192" s="20">
        <f>IF(OR(D192="",E192=""),"",D192*E192)</f>
        <v/>
      </c>
      <c r="G192" s="21">
        <f>IF(F192="","",IF(F192&gt;=15,"Elevado",IF(F192&gt;=6,"Médio","Baixo")))</f>
        <v/>
      </c>
    </row>
    <row r="193">
      <c r="F193" s="20">
        <f>IF(OR(D193="",E193=""),"",D193*E193)</f>
        <v/>
      </c>
      <c r="G193" s="21">
        <f>IF(F193="","",IF(F193&gt;=15,"Elevado",IF(F193&gt;=6,"Médio","Baixo")))</f>
        <v/>
      </c>
    </row>
    <row r="194">
      <c r="F194" s="20">
        <f>IF(OR(D194="",E194=""),"",D194*E194)</f>
        <v/>
      </c>
      <c r="G194" s="21">
        <f>IF(F194="","",IF(F194&gt;=15,"Elevado",IF(F194&gt;=6,"Médio","Baixo")))</f>
        <v/>
      </c>
    </row>
    <row r="195">
      <c r="F195" s="20">
        <f>IF(OR(D195="",E195=""),"",D195*E195)</f>
        <v/>
      </c>
      <c r="G195" s="21">
        <f>IF(F195="","",IF(F195&gt;=15,"Elevado",IF(F195&gt;=6,"Médio","Baixo")))</f>
        <v/>
      </c>
    </row>
    <row r="196">
      <c r="F196" s="20">
        <f>IF(OR(D196="",E196=""),"",D196*E196)</f>
        <v/>
      </c>
      <c r="G196" s="21">
        <f>IF(F196="","",IF(F196&gt;=15,"Elevado",IF(F196&gt;=6,"Médio","Baixo")))</f>
        <v/>
      </c>
    </row>
    <row r="197">
      <c r="F197" s="20">
        <f>IF(OR(D197="",E197=""),"",D197*E197)</f>
        <v/>
      </c>
      <c r="G197" s="21">
        <f>IF(F197="","",IF(F197&gt;=15,"Elevado",IF(F197&gt;=6,"Médio","Baixo")))</f>
        <v/>
      </c>
    </row>
    <row r="198">
      <c r="F198" s="20">
        <f>IF(OR(D198="",E198=""),"",D198*E198)</f>
        <v/>
      </c>
      <c r="G198" s="21">
        <f>IF(F198="","",IF(F198&gt;=15,"Elevado",IF(F198&gt;=6,"Médio","Baixo")))</f>
        <v/>
      </c>
    </row>
    <row r="199">
      <c r="F199" s="20">
        <f>IF(OR(D199="",E199=""),"",D199*E199)</f>
        <v/>
      </c>
      <c r="G199" s="21">
        <f>IF(F199="","",IF(F199&gt;=15,"Elevado",IF(F199&gt;=6,"Médio","Baixo")))</f>
        <v/>
      </c>
    </row>
    <row r="200">
      <c r="F200" s="20">
        <f>IF(OR(D200="",E200=""),"",D200*E200)</f>
        <v/>
      </c>
      <c r="G200" s="21">
        <f>IF(F200="","",IF(F200&gt;=15,"Elevado",IF(F200&gt;=6,"Médio","Baixo")))</f>
        <v/>
      </c>
    </row>
  </sheetData>
  <conditionalFormatting sqref="F2:G200">
    <cfRule type="expression" priority="1" dxfId="0" stopIfTrue="1">
      <formula>AND($F2&lt;&gt;"",$F2&gt;=15)</formula>
    </cfRule>
    <cfRule type="expression" priority="2" dxfId="1" stopIfTrue="1">
      <formula>AND($F2&lt;&gt;"",$F2&gt;=6)</formula>
    </cfRule>
    <cfRule type="expression" priority="3" dxfId="2" stopIfTrue="1">
      <formula>AND($F2&lt;&gt;"",$F2&gt;=1)</formula>
    </cfRule>
  </conditionalFormatting>
  <dataValidations count="3">
    <dataValidation sqref="A2:A200" showDropDown="0" showInputMessage="0" showErrorMessage="1" allowBlank="1" error="Escolha um valor da lista." type="list">
      <formula1>=Riscos!$A$2:$A$200</formula1>
    </dataValidation>
    <dataValidation sqref="D2:E200" showDropDown="0" showInputMessage="1" showErrorMessage="1" allowBlank="1" error="Escolha um valor da lista." prompt="1 a 5" type="list">
      <formula1>"1,2,3,4,5"</formula1>
    </dataValidation>
    <dataValidation sqref="H2:H200" showDropDown="0" showInputMessage="0" showErrorMessage="1" allowBlank="1" error="Escolha um valor da lista." type="list">
      <formula1>=Listas!$C$2:$C$5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9C1C1C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9" t="inlineStr">
        <is>
          <t>Matriz de probabilidade × impacto (riscos não encerrados, última avaliação)</t>
        </is>
      </c>
    </row>
    <row r="3">
      <c r="B3" s="23" t="inlineStr">
        <is>
          <t>Probabilidade →</t>
        </is>
      </c>
    </row>
    <row r="4">
      <c r="B4" s="23" t="inlineStr">
        <is>
          <t>Impacto ↓</t>
        </is>
      </c>
      <c r="C4" s="24" t="n">
        <v>1</v>
      </c>
      <c r="D4" s="24" t="n">
        <v>2</v>
      </c>
      <c r="E4" s="24" t="n">
        <v>3</v>
      </c>
      <c r="F4" s="24" t="n">
        <v>4</v>
      </c>
      <c r="G4" s="24" t="n">
        <v>5</v>
      </c>
    </row>
    <row r="5" ht="30" customHeight="1">
      <c r="B5" s="24" t="n">
        <v>5</v>
      </c>
      <c r="C5" s="25">
        <f>COUNTIFS(Riscos!$N$2:$N$200,1,Riscos!$O$2:$O$200,5,Riscos!$K$2:$K$200,"&lt;&gt;Encerrado")</f>
        <v/>
      </c>
      <c r="D5" s="26">
        <f>COUNTIFS(Riscos!$N$2:$N$200,2,Riscos!$O$2:$O$200,5,Riscos!$K$2:$K$200,"&lt;&gt;Encerrado")</f>
        <v/>
      </c>
      <c r="E5" s="27">
        <f>COUNTIFS(Riscos!$N$2:$N$200,3,Riscos!$O$2:$O$200,5,Riscos!$K$2:$K$200,"&lt;&gt;Encerrado")</f>
        <v/>
      </c>
      <c r="F5" s="27">
        <f>COUNTIFS(Riscos!$N$2:$N$200,4,Riscos!$O$2:$O$200,5,Riscos!$K$2:$K$200,"&lt;&gt;Encerrado")</f>
        <v/>
      </c>
      <c r="G5" s="27">
        <f>COUNTIFS(Riscos!$N$2:$N$200,5,Riscos!$O$2:$O$200,5,Riscos!$K$2:$K$200,"&lt;&gt;Encerrado")</f>
        <v/>
      </c>
    </row>
    <row r="6" ht="30" customHeight="1">
      <c r="B6" s="24" t="n">
        <v>4</v>
      </c>
      <c r="C6" s="25">
        <f>COUNTIFS(Riscos!$N$2:$N$200,1,Riscos!$O$2:$O$200,4,Riscos!$K$2:$K$200,"&lt;&gt;Encerrado")</f>
        <v/>
      </c>
      <c r="D6" s="26">
        <f>COUNTIFS(Riscos!$N$2:$N$200,2,Riscos!$O$2:$O$200,4,Riscos!$K$2:$K$200,"&lt;&gt;Encerrado")</f>
        <v/>
      </c>
      <c r="E6" s="26">
        <f>COUNTIFS(Riscos!$N$2:$N$200,3,Riscos!$O$2:$O$200,4,Riscos!$K$2:$K$200,"&lt;&gt;Encerrado")</f>
        <v/>
      </c>
      <c r="F6" s="27">
        <f>COUNTIFS(Riscos!$N$2:$N$200,4,Riscos!$O$2:$O$200,4,Riscos!$K$2:$K$200,"&lt;&gt;Encerrado")</f>
        <v/>
      </c>
      <c r="G6" s="27">
        <f>COUNTIFS(Riscos!$N$2:$N$200,5,Riscos!$O$2:$O$200,4,Riscos!$K$2:$K$200,"&lt;&gt;Encerrado")</f>
        <v/>
      </c>
    </row>
    <row r="7" ht="30" customHeight="1">
      <c r="B7" s="24" t="n">
        <v>3</v>
      </c>
      <c r="C7" s="25">
        <f>COUNTIFS(Riscos!$N$2:$N$200,1,Riscos!$O$2:$O$200,3,Riscos!$K$2:$K$200,"&lt;&gt;Encerrado")</f>
        <v/>
      </c>
      <c r="D7" s="26">
        <f>COUNTIFS(Riscos!$N$2:$N$200,2,Riscos!$O$2:$O$200,3,Riscos!$K$2:$K$200,"&lt;&gt;Encerrado")</f>
        <v/>
      </c>
      <c r="E7" s="26">
        <f>COUNTIFS(Riscos!$N$2:$N$200,3,Riscos!$O$2:$O$200,3,Riscos!$K$2:$K$200,"&lt;&gt;Encerrado")</f>
        <v/>
      </c>
      <c r="F7" s="26">
        <f>COUNTIFS(Riscos!$N$2:$N$200,4,Riscos!$O$2:$O$200,3,Riscos!$K$2:$K$200,"&lt;&gt;Encerrado")</f>
        <v/>
      </c>
      <c r="G7" s="27">
        <f>COUNTIFS(Riscos!$N$2:$N$200,5,Riscos!$O$2:$O$200,3,Riscos!$K$2:$K$200,"&lt;&gt;Encerrado")</f>
        <v/>
      </c>
    </row>
    <row r="8" ht="30" customHeight="1">
      <c r="B8" s="24" t="n">
        <v>2</v>
      </c>
      <c r="C8" s="25">
        <f>COUNTIFS(Riscos!$N$2:$N$200,1,Riscos!$O$2:$O$200,2,Riscos!$K$2:$K$200,"&lt;&gt;Encerrado")</f>
        <v/>
      </c>
      <c r="D8" s="25">
        <f>COUNTIFS(Riscos!$N$2:$N$200,2,Riscos!$O$2:$O$200,2,Riscos!$K$2:$K$200,"&lt;&gt;Encerrado")</f>
        <v/>
      </c>
      <c r="E8" s="26">
        <f>COUNTIFS(Riscos!$N$2:$N$200,3,Riscos!$O$2:$O$200,2,Riscos!$K$2:$K$200,"&lt;&gt;Encerrado")</f>
        <v/>
      </c>
      <c r="F8" s="26">
        <f>COUNTIFS(Riscos!$N$2:$N$200,4,Riscos!$O$2:$O$200,2,Riscos!$K$2:$K$200,"&lt;&gt;Encerrado")</f>
        <v/>
      </c>
      <c r="G8" s="26">
        <f>COUNTIFS(Riscos!$N$2:$N$200,5,Riscos!$O$2:$O$200,2,Riscos!$K$2:$K$200,"&lt;&gt;Encerrado")</f>
        <v/>
      </c>
    </row>
    <row r="9" ht="30" customHeight="1">
      <c r="B9" s="24" t="n">
        <v>1</v>
      </c>
      <c r="C9" s="25">
        <f>COUNTIFS(Riscos!$N$2:$N$200,1,Riscos!$O$2:$O$200,1,Riscos!$K$2:$K$200,"&lt;&gt;Encerrado")</f>
        <v/>
      </c>
      <c r="D9" s="25">
        <f>COUNTIFS(Riscos!$N$2:$N$200,2,Riscos!$O$2:$O$200,1,Riscos!$K$2:$K$200,"&lt;&gt;Encerrado")</f>
        <v/>
      </c>
      <c r="E9" s="25">
        <f>COUNTIFS(Riscos!$N$2:$N$200,3,Riscos!$O$2:$O$200,1,Riscos!$K$2:$K$200,"&lt;&gt;Encerrado")</f>
        <v/>
      </c>
      <c r="F9" s="25">
        <f>COUNTIFS(Riscos!$N$2:$N$200,4,Riscos!$O$2:$O$200,1,Riscos!$K$2:$K$200,"&lt;&gt;Encerrado")</f>
        <v/>
      </c>
      <c r="G9" s="25">
        <f>COUNTIFS(Riscos!$N$2:$N$200,5,Riscos!$O$2:$O$200,1,Riscos!$K$2:$K$200,"&lt;&gt;Encerrado")</f>
        <v/>
      </c>
    </row>
    <row r="11">
      <c r="B11" s="28" t="inlineStr">
        <is>
          <t>Cada célula conta os riscos com aquela probabilidade e impacto na última avaliação. Verde: baixo · amarelo: médio · vermelho: elevado.</t>
        </is>
      </c>
    </row>
    <row r="13">
      <c r="B13" s="23" t="inlineStr">
        <is>
          <t>Riscos ativos</t>
        </is>
      </c>
      <c r="C13">
        <f>COUNTIFS(Riscos!$A$2:$A$200,"&lt;&gt;",Riscos!$K$2:$K$200,"&lt;&gt;Encerrado")</f>
        <v/>
      </c>
    </row>
    <row r="14">
      <c r="B14" s="23" t="inlineStr">
        <is>
          <t>Exposição elevada</t>
        </is>
      </c>
      <c r="C14">
        <f>COUNTIFS(Riscos!$P$2:$P$200,"&gt;=15",Riscos!$K$2:$K$200,"&lt;&gt;Encerrado")</f>
        <v/>
      </c>
    </row>
    <row r="15">
      <c r="B15" s="23" t="inlineStr">
        <is>
          <t>Materializados</t>
        </is>
      </c>
      <c r="C15">
        <f>COUNTIF(Riscos!$K$2:$K$200,"Materializado")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0B3D2E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22" customWidth="1" min="4" max="4"/>
    <col width="46" customWidth="1" min="5" max="5"/>
    <col width="46" customWidth="1" min="6" max="6"/>
    <col width="34" customWidth="1" min="7" max="7"/>
    <col width="32" customWidth="1" min="8" max="8"/>
    <col width="36" customWidth="1" min="9" max="9"/>
    <col width="12" customWidth="1" min="10" max="10"/>
  </cols>
  <sheetData>
    <row r="1" ht="42" customHeight="1">
      <c r="A1" s="16" t="inlineStr">
        <is>
          <t>Data</t>
        </is>
      </c>
      <c r="B1" s="16" t="inlineStr">
        <is>
          <t>Sprint</t>
        </is>
      </c>
      <c r="C1" s="16" t="inlineStr">
        <is>
          <t>Tipo</t>
        </is>
      </c>
      <c r="D1" s="16" t="inlineStr">
        <is>
          <t>Indicador</t>
        </is>
      </c>
      <c r="E1" s="16" t="inlineStr">
        <is>
          <t>Contexto e dado</t>
        </is>
      </c>
      <c r="F1" s="16" t="inlineStr">
        <is>
          <t>Decisão</t>
        </is>
      </c>
      <c r="G1" s="16" t="inlineStr">
        <is>
          <t>Evidência</t>
        </is>
      </c>
      <c r="H1" s="16" t="inlineStr">
        <is>
          <t>Critério de sucesso</t>
        </is>
      </c>
      <c r="I1" s="16" t="inlineStr">
        <is>
          <t>Resultado</t>
        </is>
      </c>
      <c r="J1" s="16" t="inlineStr">
        <is>
          <t>Status</t>
        </is>
      </c>
    </row>
    <row r="2">
      <c r="A2" s="19" t="n">
        <v>46292</v>
      </c>
      <c r="B2" s="18" t="n">
        <v>3</v>
      </c>
      <c r="C2" s="18" t="inlineStr">
        <is>
          <t>Gerencial</t>
        </is>
      </c>
      <c r="D2" s="18" t="inlineStr">
        <is>
          <t>Calendário de sprints</t>
        </is>
      </c>
      <c r="E2" s="18" t="inlineStr">
        <is>
          <t>Três calendários em uso (planilha antiga quinzenal com R1 até 04/10, Zenhub e página de Planejamento). Só o do Zenhub fecha nas datas das releases.</t>
        </is>
      </c>
      <c r="F2" s="18" t="inlineStr">
        <is>
          <t>Adotar o calendário do Zenhub como linha de base: R1 com 3 sprints, R2 com 4 e R3 com 5.</t>
        </is>
      </c>
      <c r="G2" s="18" t="inlineStr">
        <is>
          <t>Aba Sprints; Analytics/planilhas/sprints.csv; docs/planejamento/decisoes.mdx (D1)</t>
        </is>
      </c>
      <c r="H2" s="18" t="inlineStr">
        <is>
          <t>Todas as sprints até 29/11 criadas no Zenhub com as mesmas datas da planilha</t>
        </is>
      </c>
      <c r="I2" s="18" t="n"/>
      <c r="J2" s="18" t="inlineStr">
        <is>
          <t>Vigente</t>
        </is>
      </c>
    </row>
    <row r="3">
      <c r="A3" s="19" t="n">
        <v>46292</v>
      </c>
      <c r="B3" s="18" t="n">
        <v>3</v>
      </c>
      <c r="C3" s="18" t="inlineStr">
        <is>
          <t>Gerencial</t>
        </is>
      </c>
      <c r="D3" s="18" t="inlineStr">
        <is>
          <t>Velocity / pontos em Done</t>
        </is>
      </c>
      <c r="E3" s="18" t="inlineStr">
        <is>
          <t>Zenhub em 27/09: 0 pontos em Done na R1, issues sem estimativa e issues fechadas fora do Done. Mover uma issue fechada para o Done reabre a issue.</t>
        </is>
      </c>
      <c r="F3" s="18" t="inlineStr">
        <is>
          <t>Feito = issue fechada (Closed) ou no pipeline Done. Nunca mover issue fechada. Story points só em US, Task e Bug; Épicos, Sub-tasks e Task com Task filha não pontuam.</t>
        </is>
      </c>
      <c r="G3" s="18" t="inlineStr">
        <is>
          <t>Planilha Custos e AgileEVM (EVM - Valor Agregado, nota das colunas PP e PC); Analytics/src/gestao.py; docs/planejamento/decisoes.mdx (D2)</t>
        </is>
      </c>
      <c r="H3" s="18" t="inlineStr">
        <is>
          <t>Zero issues sem estimativa na conferência com o Zenhub a cada planning</t>
        </is>
      </c>
      <c r="I3" s="18" t="inlineStr">
        <is>
          <t>27/09: 21 issues estimadas; nenhuma issue reaberta</t>
        </is>
      </c>
      <c r="J3" s="18" t="inlineStr">
        <is>
          <t>Vigente</t>
        </is>
      </c>
    </row>
    <row r="4">
      <c r="A4" s="19" t="n">
        <v>46292</v>
      </c>
      <c r="B4" s="18" t="n">
        <v>3</v>
      </c>
      <c r="C4" s="18" t="inlineStr">
        <is>
          <t>Gerencial</t>
        </is>
      </c>
      <c r="D4" s="18" t="inlineStr">
        <is>
          <t>Custo (BAC e AC)</t>
        </is>
      </c>
      <c r="E4" s="18" t="inlineStr">
        <is>
          <t>EVM sem orçamento nem custo real: não havia custo/hora definido nem registro de horas; a disciplina exige horas reais.</t>
        </is>
      </c>
      <c r="F4" s="18" t="inlineStr">
        <is>
          <t>Usar o modelo de custo do aluno de 2026.1 (R$ 329,43 por integrante/semana; R$ 23,53/h). AC = custo planejado da sprint, trocado por horas × custo/hora quando o time registrar horas.</t>
        </is>
      </c>
      <c r="G4" s="18" t="inlineStr">
        <is>
          <t>Planilha Custos e AgileEVM (abas Custos, Planejamento e Horas); docs/planejamento/custos.mdx; decisoes.mdx (D3)</t>
        </is>
      </c>
      <c r="H4" s="18" t="inlineStr">
        <is>
          <t>20 de 20 integrantes com horas na sprint 4 e CPI calculado no dashboard</t>
        </is>
      </c>
      <c r="I4" s="18" t="n"/>
      <c r="J4" s="18" t="inlineStr">
        <is>
          <t>Planejada</t>
        </is>
      </c>
    </row>
  </sheetData>
  <dataValidations count="2">
    <dataValidation sqref="C2:C200" showDropDown="0" showInputMessage="0" showErrorMessage="1" allowBlank="1" error="Escolha um valor da lista." type="list">
      <formula1>=Listas!$D$2:$D$3</formula1>
    </dataValidation>
    <dataValidation sqref="J2:J200" showDropDown="0" showInputMessage="0" showErrorMessage="1" allowBlank="1" error="Escolha um valor da lista." type="list">
      <formula1>=Listas!$E$2:$E$5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7A8BA0"/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15" customWidth="1" min="4" max="4"/>
    <col width="16" customWidth="1" min="5" max="5"/>
    <col width="36" customWidth="1" min="6" max="6"/>
  </cols>
  <sheetData>
    <row r="1" ht="42" customHeight="1">
      <c r="A1" s="17" t="inlineStr">
        <is>
          <t>Categoria (EAR)</t>
        </is>
      </c>
      <c r="B1" s="17" t="inlineStr">
        <is>
          <t>Resposta</t>
        </is>
      </c>
      <c r="C1" s="17" t="inlineStr">
        <is>
          <t>Status do risco</t>
        </is>
      </c>
      <c r="D1" s="17" t="inlineStr">
        <is>
          <t>Tipo de decisão</t>
        </is>
      </c>
      <c r="E1" s="17" t="inlineStr">
        <is>
          <t>Status da decisão</t>
        </is>
      </c>
      <c r="F1" s="17" t="inlineStr">
        <is>
          <t>Integrantes</t>
        </is>
      </c>
    </row>
    <row r="2">
      <c r="A2" s="12" t="inlineStr">
        <is>
          <t>Técnico</t>
        </is>
      </c>
      <c r="B2" s="12" t="inlineStr">
        <is>
          <t>Evitar</t>
        </is>
      </c>
      <c r="C2" s="12" t="inlineStr">
        <is>
          <t>Aberto</t>
        </is>
      </c>
      <c r="D2" s="12" t="inlineStr">
        <is>
          <t>Técnica</t>
        </is>
      </c>
      <c r="E2" s="12" t="inlineStr">
        <is>
          <t>Planejada</t>
        </is>
      </c>
      <c r="F2" s="12" t="inlineStr">
        <is>
          <t>Alexandre de Sanana Beck</t>
        </is>
      </c>
    </row>
    <row r="3">
      <c r="A3" s="12" t="inlineStr">
        <is>
          <t>Gerencial</t>
        </is>
      </c>
      <c r="B3" s="12" t="inlineStr">
        <is>
          <t>Mitigar</t>
        </is>
      </c>
      <c r="C3" s="12" t="inlineStr">
        <is>
          <t>Em monitoramento</t>
        </is>
      </c>
      <c r="D3" s="12" t="inlineStr">
        <is>
          <t>Gerencial</t>
        </is>
      </c>
      <c r="E3" s="12" t="inlineStr">
        <is>
          <t>Vigente</t>
        </is>
      </c>
      <c r="F3" s="12" t="inlineStr">
        <is>
          <t>Antônio José Magalhães Leão Júnior</t>
        </is>
      </c>
    </row>
    <row r="4">
      <c r="A4" s="12" t="inlineStr">
        <is>
          <t>Organizacional</t>
        </is>
      </c>
      <c r="B4" s="12" t="inlineStr">
        <is>
          <t>Transferir</t>
        </is>
      </c>
      <c r="C4" s="12" t="inlineStr">
        <is>
          <t>Materializado</t>
        </is>
      </c>
      <c r="E4" s="12" t="inlineStr">
        <is>
          <t>Concluída</t>
        </is>
      </c>
      <c r="F4" s="12" t="inlineStr">
        <is>
          <t>Daniel Ferreira Santos Rabelo</t>
        </is>
      </c>
    </row>
    <row r="5">
      <c r="A5" s="12" t="inlineStr">
        <is>
          <t>Externo</t>
        </is>
      </c>
      <c r="B5" s="12" t="inlineStr">
        <is>
          <t>Aceitar</t>
        </is>
      </c>
      <c r="C5" s="12" t="inlineStr">
        <is>
          <t>Encerrado</t>
        </is>
      </c>
      <c r="E5" s="12" t="inlineStr">
        <is>
          <t>Revertida</t>
        </is>
      </c>
      <c r="F5" s="12" t="inlineStr">
        <is>
          <t>Diego Carlito Rodrigues de Souza</t>
        </is>
      </c>
    </row>
    <row r="6">
      <c r="B6" s="12" t="inlineStr">
        <is>
          <t>Escalar</t>
        </is>
      </c>
      <c r="F6" s="12" t="inlineStr">
        <is>
          <t>Diogo Rodrigues Barboza</t>
        </is>
      </c>
    </row>
    <row r="7">
      <c r="F7" s="12" t="inlineStr">
        <is>
          <t>Gabriel Marques de Souza</t>
        </is>
      </c>
    </row>
    <row r="8">
      <c r="F8" s="12" t="inlineStr">
        <is>
          <t>Gabriel Moura</t>
        </is>
      </c>
    </row>
    <row r="9">
      <c r="F9" s="12" t="inlineStr">
        <is>
          <t>Guilherme Storch</t>
        </is>
      </c>
    </row>
    <row r="10">
      <c r="F10" s="12" t="inlineStr">
        <is>
          <t>Gustavo Roberto Silva de Melo</t>
        </is>
      </c>
    </row>
    <row r="11">
      <c r="F11" s="12" t="inlineStr">
        <is>
          <t>Henrique Camelo Quenino</t>
        </is>
      </c>
    </row>
    <row r="12">
      <c r="F12" s="12" t="inlineStr">
        <is>
          <t>Kathlyn Lara Murussi</t>
        </is>
      </c>
    </row>
    <row r="13">
      <c r="F13" s="12" t="inlineStr">
        <is>
          <t>Lucas Bottino</t>
        </is>
      </c>
    </row>
    <row r="14">
      <c r="F14" s="12" t="inlineStr">
        <is>
          <t>Luciano Freitas</t>
        </is>
      </c>
    </row>
    <row r="15">
      <c r="F15" s="12" t="inlineStr">
        <is>
          <t>Luiza Maluf</t>
        </is>
      </c>
    </row>
    <row r="16">
      <c r="F16" s="12" t="inlineStr">
        <is>
          <t>Manoel Felipe Teixeira Neto</t>
        </is>
      </c>
    </row>
    <row r="17">
      <c r="F17" s="12" t="inlineStr">
        <is>
          <t>Marcos Antonio Teles de Castilhos</t>
        </is>
      </c>
    </row>
    <row r="18">
      <c r="F18" s="12" t="inlineStr">
        <is>
          <t>Milena Fernandes Rocha</t>
        </is>
      </c>
    </row>
    <row r="19">
      <c r="F19" s="12" t="inlineStr">
        <is>
          <t>Nathan Benigno Ponce de Abreu</t>
        </is>
      </c>
    </row>
    <row r="20">
      <c r="F20" s="12" t="inlineStr">
        <is>
          <t>Pedro Sena Barbosa Holtz Yen</t>
        </is>
      </c>
    </row>
    <row r="21">
      <c r="F21" s="12" t="inlineStr">
        <is>
          <t>Wallyson Souza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2026-09-27T16:36:51Z</dcterms:created>
  <dcterms:modified xmlns:dcterms="http://purl.org/dc/terms/" xmlns:xsi="http://www.w3.org/2001/XMLSchema-instance" xsi:type="dcterms:W3CDTF">2026-09-27T16:36:51Z</dcterms:modified>
</cp:coreProperties>
</file>