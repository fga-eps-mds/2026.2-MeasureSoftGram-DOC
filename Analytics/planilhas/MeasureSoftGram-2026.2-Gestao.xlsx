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Custos" sheetId="3" state="visible" r:id="rId3"/>
    <sheet xmlns:r="http://schemas.openxmlformats.org/officeDocument/2006/relationships" name="Parametros" sheetId="4" state="visible" r:id="rId4"/>
    <sheet xmlns:r="http://schemas.openxmlformats.org/officeDocument/2006/relationships" name="Sprints" sheetId="5" state="visible" r:id="rId5"/>
    <sheet xmlns:r="http://schemas.openxmlformats.org/officeDocument/2006/relationships" name="Releases" sheetId="6" state="visible" r:id="rId6"/>
    <sheet xmlns:r="http://schemas.openxmlformats.org/officeDocument/2006/relationships" name="Horas" sheetId="7" state="visible" r:id="rId7"/>
    <sheet xmlns:r="http://schemas.openxmlformats.org/officeDocument/2006/relationships" name="Riscos" sheetId="8" state="visible" r:id="rId8"/>
    <sheet xmlns:r="http://schemas.openxmlformats.org/officeDocument/2006/relationships" name="Decisoes" sheetId="9" state="visible" r:id="rId9"/>
    <sheet xmlns:r="http://schemas.openxmlformats.org/officeDocument/2006/relationships" name="Integrantes" sheetId="10" state="visible" r:id="rId10"/>
    <sheet xmlns:r="http://schemas.openxmlformats.org/officeDocument/2006/relationships" name="List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&quot;R$&quot; #,##0.00"/>
    <numFmt numFmtId="166" formatCode="yyyy-mm-dd h:mm:ss"/>
    <numFmt numFmtId="167" formatCode="yyyy-mm-dd"/>
    <numFmt numFmtId="168" formatCode="#,##0.0"/>
    <numFmt numFmtId="169" formatCode="dd/mm/yyyy"/>
    <numFmt numFmtId="170" formatCode="0.0%"/>
  </numFmts>
  <fonts count="11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1F3A5F"/>
      <sz val="16"/>
    </font>
    <font>
      <name val="Arial"/>
      <i val="1"/>
      <color rgb="0052514E"/>
      <sz val="10"/>
    </font>
    <font>
      <name val="Arial"/>
      <b val="1"/>
      <color rgb="00FFFFFF"/>
      <sz val="11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A5F"/>
      <sz val="10"/>
    </font>
    <font>
      <name val="Arial"/>
      <color theme="1"/>
      <sz val="11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E8EEF5"/>
      </patternFill>
    </fill>
    <fill>
      <patternFill patternType="solid">
        <fgColor rgb="004A6A8F"/>
      </patternFill>
    </fill>
    <fill>
      <patternFill patternType="solid">
        <fgColor rgb="00DCE3EC"/>
      </patternFill>
    </fill>
  </fills>
  <borders count="2">
    <border>
      <left/>
      <right/>
      <top/>
      <bottom/>
      <diagonal/>
    </border>
    <border>
      <bottom style="thin">
        <color rgb="00D0D7E2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0" fontId="10" fillId="0" borderId="0" pivotButton="0" quotePrefix="0" xfId="0"/>
    <xf numFmtId="0" fontId="4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7" fillId="2" borderId="0" pivotButton="0" quotePrefix="0" xfId="0"/>
    <xf numFmtId="0" fontId="8" fillId="4" borderId="1" applyAlignment="1" pivotButton="0" quotePrefix="0" xfId="0">
      <alignment vertical="top" wrapText="1"/>
    </xf>
    <xf numFmtId="169" fontId="8" fillId="4" borderId="1" applyAlignment="1" pivotButton="0" quotePrefix="0" xfId="0">
      <alignment vertical="top" wrapText="1"/>
    </xf>
    <xf numFmtId="1" fontId="8" fillId="4" borderId="1" applyAlignment="1" pivotButton="0" quotePrefix="0" xfId="0">
      <alignment vertical="top" wrapText="1"/>
    </xf>
    <xf numFmtId="3" fontId="8" fillId="4" borderId="1" applyAlignment="1" pivotButton="0" quotePrefix="0" xfId="0">
      <alignment vertical="top" wrapText="1"/>
    </xf>
    <xf numFmtId="168" fontId="8" fillId="4" borderId="1" applyAlignment="1" pivotButton="0" quotePrefix="0" xfId="0">
      <alignment vertical="top" wrapText="1"/>
    </xf>
    <xf numFmtId="170" fontId="8" fillId="4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165" fontId="8" fillId="4" borderId="1" applyAlignment="1" pivotButton="0" quotePrefix="0" xfId="0">
      <alignment vertical="top" wrapText="1"/>
    </xf>
    <xf numFmtId="0" fontId="7" fillId="2" borderId="0" applyAlignment="1" pivotButton="0" quotePrefix="0" xfId="0">
      <alignment vertical="center" wrapText="1"/>
    </xf>
    <xf numFmtId="0" fontId="9" fillId="6" borderId="0" pivotButton="0" quotePrefix="0" xfId="0"/>
    <xf numFmtId="165" fontId="5" fillId="0" borderId="1" applyAlignment="1" pivotButton="0" quotePrefix="0" xfId="0">
      <alignment vertical="top" wrapText="1"/>
    </xf>
    <xf numFmtId="1" fontId="5" fillId="0" borderId="1" applyAlignment="1" pivotButton="0" quotePrefix="0" xfId="0">
      <alignment vertical="top" wrapText="1"/>
    </xf>
    <xf numFmtId="164" fontId="8" fillId="4" borderId="1" applyAlignment="1" pivotButton="0" quotePrefix="0" xfId="0">
      <alignment vertical="top" wrapText="1"/>
    </xf>
    <xf numFmtId="2" fontId="8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5" borderId="0" applyAlignment="1" pivotButton="0" quotePrefix="0" xfId="0">
      <alignment vertical="center" wrapText="1"/>
    </xf>
    <xf numFmtId="167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1" fontId="5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0" fontId="5" fillId="0" borderId="0" pivotButton="0" quotePrefix="0" xfId="0"/>
    <xf numFmtId="164" fontId="5" fillId="0" borderId="0" pivotButton="0" quotePrefix="0" xfId="0"/>
    <xf numFmtId="1" fontId="8" fillId="4" borderId="0" pivotButton="0" quotePrefix="0" xfId="0"/>
    <xf numFmtId="167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5F7FA"/>
        </patternFill>
      </fill>
    </dxf>
    <dxf>
      <font>
        <name val="Arial"/>
        <b val="1"/>
        <color rgb="009C1C1C"/>
      </font>
      <fill>
        <patternFill patternType="solid">
          <fgColor rgb="00F4C7C3"/>
        </patternFill>
      </fill>
    </dxf>
    <dxf>
      <fill>
        <patternFill patternType="solid">
          <fgColor rgb="00FCE8B2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3D2E"/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Planilha de gestão do MeasureSoftGram 2026.2</t>
        </is>
      </c>
      <c r="B1" s="2" t="n"/>
    </row>
    <row r="2" ht="30" customHeight="1">
      <c r="A2" s="3" t="inlineStr">
        <is>
          <t>Fonte de dados do Dashboard Analítico (aba Projeto). Cada aba abaixo é lida pelo app via "Publicar na web" em CSV. Definições completas em docs/metricas/modelo-de-gestao.mdx.</t>
        </is>
      </c>
      <c r="B2" s="4" t="n"/>
    </row>
    <row r="3">
      <c r="A3" s="2" t="n"/>
      <c r="B3" s="2" t="n"/>
    </row>
    <row r="4">
      <c r="A4" s="5" t="inlineStr">
        <is>
          <t>Legenda</t>
        </is>
      </c>
      <c r="B4" s="6" t="n"/>
    </row>
    <row r="5">
      <c r="A5" s="7" t="inlineStr">
        <is>
          <t>Texto azul</t>
        </is>
      </c>
      <c r="B5" s="2" t="inlineStr">
        <is>
          <t>Dado de entrada, digitado pelo time.</t>
        </is>
      </c>
    </row>
    <row r="6">
      <c r="A6" s="8" t="inlineStr">
        <is>
          <t>Fundo amarelo</t>
        </is>
      </c>
      <c r="B6" s="2" t="inlineStr">
        <is>
          <t>Entrada obrigatória ainda não preenchida.</t>
        </is>
      </c>
    </row>
    <row r="7">
      <c r="A7" s="9" t="inlineStr">
        <is>
          <t>Fundo azul claro</t>
        </is>
      </c>
      <c r="B7" s="2" t="inlineStr">
        <is>
          <t>Coluna calculada por fórmula. Não editar.</t>
        </is>
      </c>
    </row>
    <row r="8">
      <c r="A8" s="2" t="n"/>
      <c r="B8" s="2" t="n"/>
    </row>
    <row r="9">
      <c r="A9" s="5" t="inlineStr">
        <is>
          <t>Abas</t>
        </is>
      </c>
      <c r="B9" s="6" t="n"/>
    </row>
    <row r="10">
      <c r="A10" s="10" t="inlineStr">
        <is>
          <t>Custos</t>
        </is>
      </c>
      <c r="B10" s="2" t="inlineStr">
        <is>
          <t>Modelo de custo com premissas e fontes (adaptado da planilha de 2026.1). Calcula custo por integrante/semana e custo/hora.</t>
        </is>
      </c>
    </row>
    <row r="11">
      <c r="A11" s="10" t="inlineStr">
        <is>
          <t>Parametros</t>
        </is>
      </c>
      <c r="B11" s="2" t="inlineStr">
        <is>
          <t>Capacidade, custo/hora e regras do quadro, lidos pelo app. Capacidade e custo/hora vêm da aba Custos.</t>
        </is>
      </c>
    </row>
    <row r="12">
      <c r="A12" s="10" t="inlineStr">
        <is>
          <t>Sprints</t>
        </is>
      </c>
      <c r="B12" s="2" t="inlineStr">
        <is>
          <t>Calendário oficial (o do Zenhub) e a release de cada sprint.</t>
        </is>
      </c>
    </row>
    <row r="13">
      <c r="A13" s="10" t="inlineStr">
        <is>
          <t>Releases</t>
        </is>
      </c>
      <c r="B13" s="2" t="inlineStr">
        <is>
          <t>Data de entrega e linha de base de pontos (PRP) de cada release. Calcula horas planejadas e BAC.</t>
        </is>
      </c>
    </row>
    <row r="14">
      <c r="A14" s="10" t="inlineStr">
        <is>
          <t>Horas</t>
        </is>
      </c>
      <c r="B14" s="2" t="inlineStr">
        <is>
          <t>Horas reais por integrante e sprint. Origem do custo real (AC). Uma linha por pessoa por sprint.</t>
        </is>
      </c>
    </row>
    <row r="15">
      <c r="A15" s="10" t="inlineStr">
        <is>
          <t>Riscos</t>
        </is>
      </c>
      <c r="B15" s="2" t="inlineStr">
        <is>
          <t>Registro de riscos (PMBOK). Probabilidade e impacto de 1 a 5; exposição = P x I (1 a 25): 1-5 baixo, 6-12 médio, 15-25 elevado. Categorias EAR: Técnico, Gerencial, Organizacional, Externo.</t>
        </is>
      </c>
    </row>
    <row r="16">
      <c r="A16" s="10" t="inlineStr">
        <is>
          <t>Decisoes</t>
        </is>
      </c>
      <c r="B16" s="2" t="inlineStr">
        <is>
          <t>Contexto e dado, decisão, evidência (PR, commit, doc), critério de sucesso e resultado. A R2 exige 3 registros e a R3 exige 5.</t>
        </is>
      </c>
    </row>
    <row r="17">
      <c r="A17" s="10" t="inlineStr">
        <is>
          <t>Resumo</t>
        </is>
      </c>
      <c r="B17" s="2" t="inlineStr">
        <is>
          <t>Visão rápida calculada a partir das outras abas.</t>
        </is>
      </c>
    </row>
    <row r="18">
      <c r="A18" s="10" t="inlineStr">
        <is>
          <t>Integrantes, Listas</t>
        </is>
      </c>
      <c r="B18" s="2" t="inlineStr">
        <is>
          <t>Listas usadas nos menus suspensos.</t>
        </is>
      </c>
    </row>
    <row r="19">
      <c r="A19" s="2" t="n"/>
      <c r="B19" s="2" t="n"/>
    </row>
    <row r="20">
      <c r="A20" s="5" t="inlineStr">
        <is>
          <t>Regras de preenchimento</t>
        </is>
      </c>
      <c r="B20" s="6" t="n"/>
    </row>
    <row r="21">
      <c r="A21" s="10" t="inlineStr">
        <is>
          <t>Cabeçalhos</t>
        </is>
      </c>
      <c r="B21" s="2" t="inlineStr">
        <is>
          <t>Não renomear nem mover as colunas da linha 1: o app lê pelo nome. Colunas novas podem ser acrescentadas no fim.</t>
        </is>
      </c>
    </row>
    <row r="22">
      <c r="A22" s="10" t="inlineStr">
        <is>
          <t>Datas</t>
        </is>
      </c>
      <c r="B22" s="2" t="inlineStr">
        <is>
          <t>Formato aaaa-mm-dd (ex.: 2026-09-28).</t>
        </is>
      </c>
    </row>
    <row r="23">
      <c r="A23" s="10" t="inlineStr">
        <is>
          <t>Horas</t>
        </is>
      </c>
      <c r="B23" s="2" t="inlineStr">
        <is>
          <t>Número, vírgula ou ponto como decimal. Exemplo de linha: sprint 4 | Milena Fernandes Rocha | 6,5 | pareamento no Parser</t>
        </is>
      </c>
    </row>
    <row r="24">
      <c r="A24" s="10" t="inlineStr">
        <is>
          <t>PRP</t>
        </is>
      </c>
      <c r="B24" s="2" t="inlineStr">
        <is>
          <t>Congelado na planning de abertura da release: soma dos pontos das US/Tasks comprometidas. Não alterar depois; escopo novo entra como PA automaticamente.</t>
        </is>
      </c>
    </row>
    <row r="25">
      <c r="A25" s="2" t="n"/>
      <c r="B25" s="2" t="n"/>
    </row>
    <row r="26">
      <c r="A26" s="5" t="inlineStr">
        <is>
          <t>Rotina</t>
        </is>
      </c>
      <c r="B26" s="6" t="n"/>
    </row>
    <row r="27">
      <c r="A27" s="10" t="inlineStr">
        <is>
          <t>Toda segunda (planning)</t>
        </is>
      </c>
      <c r="B27" s="2" t="inlineStr">
        <is>
          <t>Cada integrante lança as horas da semana anterior na aba Horas.</t>
        </is>
      </c>
    </row>
    <row r="28">
      <c r="A28" s="10" t="inlineStr">
        <is>
          <t>Abertura de release</t>
        </is>
      </c>
      <c r="B28" s="2" t="inlineStr">
        <is>
          <t>Preencher prp_linha_de_base em Releases.</t>
        </is>
      </c>
    </row>
    <row r="29">
      <c r="A29" s="10" t="inlineStr">
        <is>
          <t>Toda retrospectiva</t>
        </is>
      </c>
      <c r="B29" s="2" t="inlineStr">
        <is>
          <t>Revisar Riscos (status, última revisão) e registrar Decisões.</t>
        </is>
      </c>
    </row>
    <row r="30">
      <c r="A30" s="2" t="n"/>
      <c r="B30" s="2" t="n"/>
    </row>
    <row r="31">
      <c r="A31" s="5" t="inlineStr">
        <is>
          <t>Publicar para o app</t>
        </is>
      </c>
      <c r="B31" s="6" t="n"/>
    </row>
    <row r="32">
      <c r="A32" s="10" t="inlineStr">
        <is>
          <t>Passo 1</t>
        </is>
      </c>
      <c r="B32" s="2" t="inlineStr">
        <is>
          <t>Arquivo &gt; Compartilhar &gt; Publicar na web.</t>
        </is>
      </c>
    </row>
    <row r="33">
      <c r="A33" s="10" t="inlineStr">
        <is>
          <t>Passo 2</t>
        </is>
      </c>
      <c r="B33" s="2" t="inlineStr">
        <is>
          <t>Para cada aba lida pelo app (Parametros, Sprints, Releases, Horas, Riscos, Decisoes): escolher a aba e o formato CSV, clicar em Publicar e copiar o link.</t>
        </is>
      </c>
    </row>
    <row r="34">
      <c r="A34" s="10" t="inlineStr">
        <is>
          <t>Passo 3</t>
        </is>
      </c>
      <c r="B34" s="2" t="inlineStr">
        <is>
          <t>Colar cada link em Analytics/config.py, na chave de mesmo nome.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3D2E"/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16" customWidth="1" min="6" max="6"/>
  </cols>
  <sheetData>
    <row r="1">
      <c r="A1" s="11" t="inlineStr">
        <is>
          <t>Resumo do projeto</t>
        </is>
      </c>
      <c r="B1" s="4" t="n"/>
      <c r="C1" s="4" t="n"/>
      <c r="D1" s="4" t="n"/>
      <c r="E1" s="4" t="n"/>
      <c r="F1" s="4" t="n"/>
    </row>
    <row r="2">
      <c r="A2" s="12" t="inlineStr">
        <is>
          <t>Calculado a partir das abas Custos, Releases, Horas, Riscos e Decisoes.</t>
        </is>
      </c>
      <c r="B2" s="4" t="n"/>
      <c r="C2" s="4" t="n"/>
      <c r="D2" s="4" t="n"/>
      <c r="E2" s="4" t="n"/>
      <c r="F2" s="4" t="n"/>
    </row>
    <row r="3">
      <c r="A3" s="4" t="n"/>
      <c r="B3" s="4" t="n"/>
      <c r="C3" s="4" t="n"/>
      <c r="D3" s="4" t="n"/>
      <c r="E3" s="4" t="n"/>
      <c r="F3" s="4" t="n"/>
    </row>
    <row r="4">
      <c r="A4" s="13" t="inlineStr">
        <is>
          <t>Release</t>
        </is>
      </c>
      <c r="B4" s="13" t="inlineStr">
        <is>
          <t>Entrega</t>
        </is>
      </c>
      <c r="C4" s="13" t="inlineStr">
        <is>
          <t>PRP (pontos)</t>
        </is>
      </c>
      <c r="D4" s="13" t="inlineStr">
        <is>
          <t>Horas planejadas</t>
        </is>
      </c>
      <c r="E4" s="13" t="inlineStr">
        <is>
          <t>Horas reais</t>
        </is>
      </c>
      <c r="F4" s="13" t="inlineStr">
        <is>
          <t>% horas usadas</t>
        </is>
      </c>
    </row>
    <row r="5">
      <c r="A5" s="14">
        <f>Releases!A2</f>
        <v/>
      </c>
      <c r="B5" s="15">
        <f>Releases!B2</f>
        <v/>
      </c>
      <c r="C5" s="16">
        <f>IF(Releases!C2="","sem linha de base",Releases!C2)</f>
        <v/>
      </c>
      <c r="D5" s="17">
        <f>Releases!G2</f>
        <v/>
      </c>
      <c r="E5" s="18">
        <f>Releases!I2</f>
        <v/>
      </c>
      <c r="F5" s="19">
        <f>IF(OR(D5="",D5=0),"",E5/D5)</f>
        <v/>
      </c>
    </row>
    <row r="6">
      <c r="A6" s="14">
        <f>Releases!A3</f>
        <v/>
      </c>
      <c r="B6" s="15">
        <f>Releases!B3</f>
        <v/>
      </c>
      <c r="C6" s="16">
        <f>IF(Releases!C3="","sem linha de base",Releases!C3)</f>
        <v/>
      </c>
      <c r="D6" s="17">
        <f>Releases!G3</f>
        <v/>
      </c>
      <c r="E6" s="18">
        <f>Releases!I3</f>
        <v/>
      </c>
      <c r="F6" s="19">
        <f>IF(OR(D6="",D6=0),"",E6/D6)</f>
        <v/>
      </c>
    </row>
    <row r="7">
      <c r="A7" s="14">
        <f>Releases!A4</f>
        <v/>
      </c>
      <c r="B7" s="15">
        <f>Releases!B4</f>
        <v/>
      </c>
      <c r="C7" s="16">
        <f>IF(Releases!C4="","sem linha de base",Releases!C4)</f>
        <v/>
      </c>
      <c r="D7" s="17">
        <f>Releases!G4</f>
        <v/>
      </c>
      <c r="E7" s="18">
        <f>Releases!I4</f>
        <v/>
      </c>
      <c r="F7" s="19">
        <f>IF(OR(D7="",D7=0),"",E7/D7)</f>
        <v/>
      </c>
    </row>
    <row r="8">
      <c r="A8" s="4" t="n"/>
      <c r="B8" s="4" t="n"/>
      <c r="C8" s="4" t="n"/>
      <c r="D8" s="4" t="n"/>
      <c r="E8" s="4" t="n"/>
      <c r="F8" s="4" t="n"/>
    </row>
    <row r="9">
      <c r="A9" s="13" t="inlineStr">
        <is>
          <t>Riscos</t>
        </is>
      </c>
      <c r="B9" s="13" t="inlineStr">
        <is>
          <t>Quantidade</t>
        </is>
      </c>
      <c r="C9" s="4" t="n"/>
      <c r="D9" s="4" t="n"/>
      <c r="E9" s="4" t="n"/>
      <c r="F9" s="4" t="n"/>
    </row>
    <row r="10">
      <c r="A10" s="20" t="inlineStr">
        <is>
          <t>Abertos</t>
        </is>
      </c>
      <c r="B10" s="16">
        <f>COUNTIF(Riscos!O2:O1000,"Aberto")</f>
        <v/>
      </c>
      <c r="C10" s="4" t="n"/>
      <c r="D10" s="4" t="n"/>
      <c r="E10" s="4" t="n"/>
      <c r="F10" s="4" t="n"/>
    </row>
    <row r="11">
      <c r="A11" s="20" t="inlineStr">
        <is>
          <t>Em monitoramento</t>
        </is>
      </c>
      <c r="B11" s="16">
        <f>COUNTIF(Riscos!O2:O1000,"Em monitoramento")</f>
        <v/>
      </c>
      <c r="C11" s="4" t="n"/>
      <c r="D11" s="4" t="n"/>
      <c r="E11" s="4" t="n"/>
      <c r="F11" s="4" t="n"/>
    </row>
    <row r="12">
      <c r="A12" s="20" t="inlineStr">
        <is>
          <t>Materializados</t>
        </is>
      </c>
      <c r="B12" s="16">
        <f>COUNTIF(Riscos!O2:O1000,"Materializado")</f>
        <v/>
      </c>
      <c r="C12" s="4" t="n"/>
      <c r="D12" s="4" t="n"/>
      <c r="E12" s="4" t="n"/>
      <c r="F12" s="4" t="n"/>
    </row>
    <row r="13">
      <c r="A13" s="20" t="inlineStr">
        <is>
          <t>Encerrados</t>
        </is>
      </c>
      <c r="B13" s="16">
        <f>COUNTIF(Riscos!O2:O1000,"Encerrado")</f>
        <v/>
      </c>
      <c r="C13" s="4" t="n"/>
      <c r="D13" s="4" t="n"/>
      <c r="E13" s="4" t="n"/>
      <c r="F13" s="4" t="n"/>
    </row>
    <row r="14">
      <c r="A14" s="20" t="inlineStr">
        <is>
          <t>Exposição elevada (15 ou mais)</t>
        </is>
      </c>
      <c r="B14" s="16">
        <f>COUNTIF(Riscos!I2:I1000,"&gt;=15")</f>
        <v/>
      </c>
      <c r="C14" s="4" t="n"/>
      <c r="D14" s="4" t="n"/>
      <c r="E14" s="4" t="n"/>
      <c r="F14" s="4" t="n"/>
    </row>
    <row r="15">
      <c r="A15" s="20" t="inlineStr">
        <is>
          <t>Sem responsável</t>
        </is>
      </c>
      <c r="B15" s="16">
        <f>COUNTIFS(Riscos!A2:A1000,"&lt;&gt;",Riscos!N2:N1000,"")</f>
        <v/>
      </c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13" t="inlineStr">
        <is>
          <t>Horas</t>
        </is>
      </c>
      <c r="B17" s="13" t="inlineStr">
        <is>
          <t>Valor</t>
        </is>
      </c>
      <c r="C17" s="4" t="n"/>
      <c r="D17" s="4" t="n"/>
      <c r="E17" s="4" t="n"/>
      <c r="F17" s="4" t="n"/>
    </row>
    <row r="18">
      <c r="A18" s="20" t="inlineStr">
        <is>
          <t>Total registrado</t>
        </is>
      </c>
      <c r="B18" s="18">
        <f>SUM(Horas!C2:C1000)</f>
        <v/>
      </c>
      <c r="C18" s="4" t="n"/>
      <c r="D18" s="4" t="n"/>
      <c r="E18" s="4" t="n"/>
      <c r="F18" s="4" t="n"/>
    </row>
    <row r="19">
      <c r="A19" s="20" t="inlineStr">
        <is>
          <t>Integrantes sem horas</t>
        </is>
      </c>
      <c r="B19" s="16">
        <f>COUNTIF(Integrantes!C2:C1000,0)</f>
        <v/>
      </c>
      <c r="C19" s="4" t="n"/>
      <c r="D19" s="4" t="n"/>
      <c r="E19" s="4" t="n"/>
      <c r="F19" s="4" t="n"/>
    </row>
    <row r="20">
      <c r="A20" s="20" t="inlineStr">
        <is>
          <t>Decisões registradas</t>
        </is>
      </c>
      <c r="B20" s="16">
        <f>COUNTA(Decisoes!A2:A1000)</f>
        <v/>
      </c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13" t="inlineStr">
        <is>
          <t>Custos</t>
        </is>
      </c>
      <c r="B22" s="13" t="inlineStr">
        <is>
          <t>Valor</t>
        </is>
      </c>
      <c r="C22" s="4" t="n"/>
      <c r="D22" s="4" t="n"/>
      <c r="E22" s="4" t="n"/>
      <c r="F22" s="4" t="n"/>
    </row>
    <row r="23">
      <c r="A23" s="20" t="inlineStr">
        <is>
          <t>Custo por integrante/semana</t>
        </is>
      </c>
      <c r="B23" s="21">
        <f>Custos!B25</f>
        <v/>
      </c>
      <c r="C23" s="4" t="n"/>
      <c r="D23" s="4" t="n"/>
      <c r="E23" s="4" t="n"/>
      <c r="F23" s="4" t="n"/>
    </row>
    <row r="24">
      <c r="A24" s="20" t="inlineStr">
        <is>
          <t>Custo/hora</t>
        </is>
      </c>
      <c r="B24" s="21">
        <f>Parametros!B4</f>
        <v/>
      </c>
      <c r="C24" s="4" t="n"/>
      <c r="D24" s="4" t="n"/>
      <c r="E24" s="4" t="n"/>
      <c r="F24" s="4" t="n"/>
    </row>
    <row r="25">
      <c r="A25" s="20" t="inlineStr">
        <is>
          <t>Custo planejado R1 (BAC)</t>
        </is>
      </c>
      <c r="B25" s="21">
        <f>Releases!H2</f>
        <v/>
      </c>
      <c r="C25" s="4" t="n"/>
      <c r="D25" s="4" t="n"/>
      <c r="E25" s="4" t="n"/>
      <c r="F25" s="4" t="n"/>
    </row>
    <row r="26">
      <c r="A26" s="20" t="inlineStr">
        <is>
          <t>Custo planejado R2 (BAC)</t>
        </is>
      </c>
      <c r="B26" s="21">
        <f>Releases!H3</f>
        <v/>
      </c>
      <c r="C26" s="4" t="n"/>
      <c r="D26" s="4" t="n"/>
      <c r="E26" s="4" t="n"/>
      <c r="F26" s="4" t="n"/>
    </row>
    <row r="27">
      <c r="A27" s="20" t="inlineStr">
        <is>
          <t>Custo planejado R3 (BAC)</t>
        </is>
      </c>
      <c r="B27" s="21">
        <f>Releases!H4</f>
        <v/>
      </c>
      <c r="C27" s="4" t="n"/>
      <c r="D27" s="4" t="n"/>
      <c r="E27" s="4" t="n"/>
      <c r="F27" s="4" t="n"/>
    </row>
    <row r="28">
      <c r="A28" s="20" t="inlineStr">
        <is>
          <t>Custo planejado total</t>
        </is>
      </c>
      <c r="B28" s="21">
        <f>SUM(Releases!H2:H4)</f>
        <v/>
      </c>
      <c r="C28" s="4" t="n"/>
      <c r="D28" s="4" t="n"/>
      <c r="E28" s="4" t="n"/>
      <c r="F2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3D2E"/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80" customWidth="1" min="4" max="4"/>
  </cols>
  <sheetData>
    <row r="1" ht="30" customHeight="1">
      <c r="A1" s="22" t="inlineStr">
        <is>
          <t>item</t>
        </is>
      </c>
      <c r="B1" s="22" t="inlineStr">
        <is>
          <t>valor</t>
        </is>
      </c>
      <c r="C1" s="22" t="inlineStr">
        <is>
          <t>unidade</t>
        </is>
      </c>
      <c r="D1" s="22" t="inlineStr">
        <is>
          <t>fonte</t>
        </is>
      </c>
    </row>
    <row r="2">
      <c r="A2" s="23" t="inlineStr">
        <is>
          <t>Custo do aluno para a UnB</t>
        </is>
      </c>
      <c r="B2" s="23" t="n"/>
      <c r="C2" s="23" t="n"/>
      <c r="D2" s="23" t="n"/>
    </row>
    <row r="3">
      <c r="A3" s="20" t="inlineStr">
        <is>
          <t>custo_anual_aluno</t>
        </is>
      </c>
      <c r="B3" s="24" t="n">
        <v>52533</v>
      </c>
      <c r="C3" s="20" t="inlineStr">
        <is>
          <t>R$/ano</t>
        </is>
      </c>
      <c r="D3" s="20" t="inlineStr">
        <is>
          <t>Custo anual por aluno de universidade federal. Valor usado na planilha de custos do MeasureSoftGram 2026.1; atualizar se houver dado mais recente.</t>
        </is>
      </c>
    </row>
    <row r="4">
      <c r="A4" s="20" t="inlineStr">
        <is>
          <t>creditos_ano</t>
        </is>
      </c>
      <c r="B4" s="25" t="n">
        <v>40</v>
      </c>
      <c r="C4" s="20" t="inlineStr">
        <is>
          <t>créditos/ano</t>
        </is>
      </c>
      <c r="D4" s="20" t="inlineStr">
        <is>
          <t>Carga anual média de créditos (planilha de custos 2026.1).</t>
        </is>
      </c>
    </row>
    <row r="5">
      <c r="A5" s="20" t="inlineStr">
        <is>
          <t>custo_credito</t>
        </is>
      </c>
      <c r="B5" s="21">
        <f>B3/B4</f>
        <v/>
      </c>
      <c r="C5" s="20" t="inlineStr">
        <is>
          <t>R$/crédito</t>
        </is>
      </c>
      <c r="D5" s="20" t="inlineStr">
        <is>
          <t>custo_anual_aluno / creditos_ano</t>
        </is>
      </c>
    </row>
    <row r="6">
      <c r="A6" s="20" t="inlineStr">
        <is>
          <t>creditos_eps</t>
        </is>
      </c>
      <c r="B6" s="25" t="n">
        <v>4</v>
      </c>
      <c r="C6" s="20" t="inlineStr">
        <is>
          <t>créditos</t>
        </is>
      </c>
      <c r="D6" s="20" t="inlineStr">
        <is>
          <t>EPS: 60 h, 4 créditos (plano de ensino).</t>
        </is>
      </c>
    </row>
    <row r="7">
      <c r="A7" s="20" t="inlineStr">
        <is>
          <t>custo_eps</t>
        </is>
      </c>
      <c r="B7" s="21">
        <f>B5*B6</f>
        <v/>
      </c>
      <c r="C7" s="20" t="inlineStr">
        <is>
          <t>R$/semestre</t>
        </is>
      </c>
      <c r="D7" s="20" t="inlineStr">
        <is>
          <t>custo_credito x creditos_eps</t>
        </is>
      </c>
    </row>
    <row r="8">
      <c r="A8" s="20" t="inlineStr">
        <is>
          <t>semanas_semestre</t>
        </is>
      </c>
      <c r="B8" s="25" t="n">
        <v>18</v>
      </c>
      <c r="C8" s="20" t="inlineStr">
        <is>
          <t>semanas</t>
        </is>
      </c>
      <c r="D8" s="20" t="inlineStr">
        <is>
          <t>Cronograma EPS 2026.2: 10/08 a 14/12.</t>
        </is>
      </c>
    </row>
    <row r="9">
      <c r="A9" s="20" t="inlineStr">
        <is>
          <t>custo_eps_semana</t>
        </is>
      </c>
      <c r="B9" s="21">
        <f>B7/B8</f>
        <v/>
      </c>
      <c r="C9" s="20" t="inlineStr">
        <is>
          <t>R$/semana</t>
        </is>
      </c>
      <c r="D9" s="20" t="inlineStr">
        <is>
          <t>custo_eps / semanas_semestre</t>
        </is>
      </c>
    </row>
    <row r="10">
      <c r="A10" s="23" t="inlineStr">
        <is>
          <t>Trabalho remoto (energia e internet)</t>
        </is>
      </c>
      <c r="B10" s="23" t="n"/>
      <c r="C10" s="23" t="n"/>
      <c r="D10" s="23" t="n"/>
    </row>
    <row r="11">
      <c r="A11" s="20" t="inlineStr">
        <is>
          <t>tarifa_kwh</t>
        </is>
      </c>
      <c r="B11" s="24" t="n">
        <v>0.83</v>
      </c>
      <c r="C11" s="20" t="inlineStr">
        <is>
          <t>R$/kWh</t>
        </is>
      </c>
      <c r="D11" s="20" t="inlineStr">
        <is>
          <t>Tarifa Neoenergia Brasília (planilha de custos 2026.1).</t>
        </is>
      </c>
    </row>
    <row r="12">
      <c r="A12" s="20" t="inlineStr">
        <is>
          <t>potencia_computador</t>
        </is>
      </c>
      <c r="B12" s="25" t="n">
        <v>40</v>
      </c>
      <c r="C12" s="20" t="inlineStr">
        <is>
          <t>W</t>
        </is>
      </c>
      <c r="D12" s="20" t="inlineStr">
        <is>
          <t>Consumo médio de notebook (planilha de custos 2026.1: 35 a 40 W).</t>
        </is>
      </c>
    </row>
    <row r="13">
      <c r="A13" s="20" t="inlineStr">
        <is>
          <t>potencia_modem</t>
        </is>
      </c>
      <c r="B13" s="25" t="n">
        <v>12</v>
      </c>
      <c r="C13" s="20" t="inlineStr">
        <is>
          <t>W</t>
        </is>
      </c>
      <c r="D13" s="20" t="inlineStr">
        <is>
          <t>Consumo médio de modem (planilha de custos 2026.1: 8 a 12 W).</t>
        </is>
      </c>
    </row>
    <row r="14">
      <c r="A14" s="20" t="inlineStr">
        <is>
          <t>horas_remotas_semana</t>
        </is>
      </c>
      <c r="B14" s="25" t="n">
        <v>10</v>
      </c>
      <c r="C14" s="20" t="inlineStr">
        <is>
          <t>h/semana</t>
        </is>
      </c>
      <c r="D14" s="20" t="inlineStr">
        <is>
          <t>Premissa de 2026.1: 10 h remotas por semana. Confirmar com o time.</t>
        </is>
      </c>
    </row>
    <row r="15">
      <c r="A15" s="20" t="inlineStr">
        <is>
          <t>energia_semana</t>
        </is>
      </c>
      <c r="B15" s="21">
        <f>(B12+B13)/1000*B11*B14</f>
        <v/>
      </c>
      <c r="C15" s="20" t="inlineStr">
        <is>
          <t>R$/semana</t>
        </is>
      </c>
      <c r="D15" s="20" t="inlineStr">
        <is>
          <t>(potências em kW) x tarifa x horas remotas</t>
        </is>
      </c>
    </row>
    <row r="16">
      <c r="A16" s="20" t="inlineStr">
        <is>
          <t>internet_mes</t>
        </is>
      </c>
      <c r="B16" s="24" t="n">
        <v>99.90000000000001</v>
      </c>
      <c r="C16" s="20" t="inlineStr">
        <is>
          <t>R$/mês</t>
        </is>
      </c>
      <c r="D16" s="20" t="inlineStr">
        <is>
          <t>Plano de 600 Mb (planilha de custos 2026.1).</t>
        </is>
      </c>
    </row>
    <row r="17">
      <c r="A17" s="20" t="inlineStr">
        <is>
          <t>internet_semana</t>
        </is>
      </c>
      <c r="B17" s="21">
        <f>B16*12/52</f>
        <v/>
      </c>
      <c r="C17" s="20" t="inlineStr">
        <is>
          <t>R$/semana</t>
        </is>
      </c>
      <c r="D17" s="20" t="inlineStr">
        <is>
          <t>internet_mes x 12 / 52</t>
        </is>
      </c>
    </row>
    <row r="18">
      <c r="A18" s="23" t="inlineStr">
        <is>
          <t>Equipamento</t>
        </is>
      </c>
      <c r="B18" s="23" t="n"/>
      <c r="C18" s="23" t="n"/>
      <c r="D18" s="23" t="n"/>
    </row>
    <row r="19">
      <c r="A19" s="20" t="inlineStr">
        <is>
          <t>valor_notebook</t>
        </is>
      </c>
      <c r="B19" s="24" t="n">
        <v>3665.56</v>
      </c>
      <c r="C19" s="20" t="inlineStr">
        <is>
          <t>R$</t>
        </is>
      </c>
      <c r="D19" s="20" t="inlineStr">
        <is>
          <t>Notebook de referência Acer Aspire 5, Ryzen 5, 16 GB (planilha de custos 2026.1).</t>
        </is>
      </c>
    </row>
    <row r="20">
      <c r="A20" s="20" t="inlineStr">
        <is>
          <t>vida_util_meses</t>
        </is>
      </c>
      <c r="B20" s="25" t="n">
        <v>60</v>
      </c>
      <c r="C20" s="20" t="inlineStr">
        <is>
          <t>meses</t>
        </is>
      </c>
      <c r="D20" s="20" t="inlineStr">
        <is>
          <t>Vida útil de 5 anos (planilha de custos 2026.1).</t>
        </is>
      </c>
    </row>
    <row r="21">
      <c r="A21" s="20" t="inlineStr">
        <is>
          <t>depreciacao_semana</t>
        </is>
      </c>
      <c r="B21" s="21">
        <f>B19/(B20*52/12)</f>
        <v/>
      </c>
      <c r="C21" s="20" t="inlineStr">
        <is>
          <t>R$/semana</t>
        </is>
      </c>
      <c r="D21" s="20" t="inlineStr">
        <is>
          <t>valor_notebook / vida útil em semanas</t>
        </is>
      </c>
    </row>
    <row r="22">
      <c r="A22" s="23" t="inlineStr">
        <is>
          <t>Resultado por integrante</t>
        </is>
      </c>
      <c r="B22" s="23" t="n"/>
      <c r="C22" s="23" t="n"/>
      <c r="D22" s="23" t="n"/>
    </row>
    <row r="23">
      <c r="A23" s="20" t="inlineStr">
        <is>
          <t>horas_presenciais_semana</t>
        </is>
      </c>
      <c r="B23" s="25" t="n">
        <v>4</v>
      </c>
      <c r="C23" s="20" t="inlineStr">
        <is>
          <t>h/semana</t>
        </is>
      </c>
      <c r="D23" s="20" t="inlineStr">
        <is>
          <t>Aula de segunda (plano de ensino).</t>
        </is>
      </c>
    </row>
    <row r="24">
      <c r="A24" s="20" t="inlineStr">
        <is>
          <t>horas_semana_total</t>
        </is>
      </c>
      <c r="B24" s="16">
        <f>B14+B23</f>
        <v/>
      </c>
      <c r="C24" s="20" t="inlineStr">
        <is>
          <t>h/semana</t>
        </is>
      </c>
      <c r="D24" s="20" t="inlineStr">
        <is>
          <t>horas remotas + presenciais. Vai para Parametros.horas_semana_pessoa.</t>
        </is>
      </c>
    </row>
    <row r="25">
      <c r="A25" s="20" t="inlineStr">
        <is>
          <t>custo_membro_semana</t>
        </is>
      </c>
      <c r="B25" s="21">
        <f>B9+B15+B17+B21</f>
        <v/>
      </c>
      <c r="C25" s="20" t="inlineStr">
        <is>
          <t>R$/semana</t>
        </is>
      </c>
      <c r="D25" s="20" t="inlineStr">
        <is>
          <t>EPS + energia + internet + depreciação</t>
        </is>
      </c>
    </row>
    <row r="26">
      <c r="A26" s="20" t="inlineStr">
        <is>
          <t>custo_hora</t>
        </is>
      </c>
      <c r="B26" s="21">
        <f>B25/B24</f>
        <v/>
      </c>
      <c r="C26" s="20" t="inlineStr">
        <is>
          <t>R$/hora</t>
        </is>
      </c>
      <c r="D26" s="20" t="inlineStr">
        <is>
          <t>custo_membro_semana / horas_semana_total. Vai para Parametros.custo_hora.</t>
        </is>
      </c>
    </row>
    <row r="27">
      <c r="A27" s="23" t="inlineStr">
        <is>
          <t>Infraestrutura</t>
        </is>
      </c>
      <c r="B27" s="23" t="n"/>
      <c r="C27" s="23" t="n"/>
      <c r="D27" s="23" t="n"/>
    </row>
    <row r="28">
      <c r="A28" s="20" t="inlineStr">
        <is>
          <t>infraestrutura_semana</t>
        </is>
      </c>
      <c r="B28" s="24" t="n">
        <v>0</v>
      </c>
      <c r="C28" s="20" t="inlineStr">
        <is>
          <t>R$/semana</t>
        </is>
      </c>
      <c r="D28" s="20" t="inlineStr">
        <is>
          <t>Deploy no LAPPIS, documentação no GitHub Pages e imagens no Docker Hub: sem custo (planilha de custos 2026.1). Atualizar se houver domínio ou serviço pago.</t>
        </is>
      </c>
    </row>
  </sheetData>
  <conditionalFormatting sqref="A2:D150">
    <cfRule type="expression" priority="1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A5F"/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70" customWidth="1" min="4" max="4"/>
  </cols>
  <sheetData>
    <row r="1" ht="30" customHeight="1">
      <c r="A1" s="22" t="inlineStr">
        <is>
          <t>parametro</t>
        </is>
      </c>
      <c r="B1" s="22" t="inlineStr">
        <is>
          <t>valor</t>
        </is>
      </c>
      <c r="C1" s="22" t="inlineStr">
        <is>
          <t>unidade</t>
        </is>
      </c>
      <c r="D1" s="22" t="inlineStr">
        <is>
          <t>fonte</t>
        </is>
      </c>
    </row>
    <row r="2">
      <c r="A2" s="20" t="inlineStr">
        <is>
          <t>pessoas</t>
        </is>
      </c>
      <c r="B2" s="16">
        <f>COUNTA(Integrantes!A2:A1000)</f>
        <v/>
      </c>
      <c r="C2" s="20" t="inlineStr">
        <is>
          <t>integrantes</t>
        </is>
      </c>
      <c r="D2" s="20" t="inlineStr">
        <is>
          <t>Contagem da aba Integrantes</t>
        </is>
      </c>
    </row>
    <row r="3">
      <c r="A3" s="20" t="inlineStr">
        <is>
          <t>horas_semana_pessoa</t>
        </is>
      </c>
      <c r="B3" s="26">
        <f>Custos!B24</f>
        <v/>
      </c>
      <c r="C3" s="20" t="inlineStr">
        <is>
          <t>horas/semana</t>
        </is>
      </c>
      <c r="D3" s="20" t="inlineStr">
        <is>
          <t>Da aba Custos (horas presenciais + remotas)</t>
        </is>
      </c>
    </row>
    <row r="4">
      <c r="A4" s="20" t="inlineStr">
        <is>
          <t>custo_hora</t>
        </is>
      </c>
      <c r="B4" s="27">
        <f>ROUND(Custos!B26,2)</f>
        <v/>
      </c>
      <c r="C4" s="20" t="inlineStr">
        <is>
          <t>R$/hora</t>
        </is>
      </c>
      <c r="D4" s="20" t="inlineStr">
        <is>
          <t>Da aba Custos (modelo de custo do aluno, adaptado de 2026.1)</t>
        </is>
      </c>
    </row>
    <row r="5">
      <c r="A5" s="20" t="inlineStr">
        <is>
          <t>criterio_feito</t>
        </is>
      </c>
      <c r="B5" s="28" t="inlineStr">
        <is>
          <t>Done</t>
        </is>
      </c>
      <c r="C5" s="20" t="inlineStr">
        <is>
          <t>pipeline do Zenhub</t>
        </is>
      </c>
      <c r="D5" s="20" t="inlineStr">
        <is>
          <t>Decisão do time, 27/09/2026</t>
        </is>
      </c>
    </row>
    <row r="6">
      <c r="A6" s="20" t="inlineStr">
        <is>
          <t>niveis_pontuados</t>
        </is>
      </c>
      <c r="B6" s="28" t="inlineStr">
        <is>
          <t>Feature;Task;Bug</t>
        </is>
      </c>
      <c r="C6" s="20" t="inlineStr">
        <is>
          <t>tipo de issue</t>
        </is>
      </c>
      <c r="D6" s="20" t="inlineStr">
        <is>
          <t>Decisão do time, 27/09/2026: US (Feature no Zenhub) e Task; Bug como Task de correção. US com Tasks filhas não pontua.</t>
        </is>
      </c>
    </row>
  </sheetData>
  <conditionalFormatting sqref="A2:D150">
    <cfRule type="expression" priority="1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A5F"/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2" customWidth="1" min="4" max="4"/>
    <col width="40" customWidth="1" min="5" max="5"/>
    <col width="36" customWidth="1" min="6" max="6"/>
    <col width="10" customWidth="1" min="7" max="7"/>
    <col width="12" customWidth="1" min="8" max="8"/>
  </cols>
  <sheetData>
    <row r="1" ht="30" customHeight="1">
      <c r="A1" s="22" t="inlineStr">
        <is>
          <t>sprint</t>
        </is>
      </c>
      <c r="B1" s="22" t="inlineStr">
        <is>
          <t>release</t>
        </is>
      </c>
      <c r="C1" s="22" t="inlineStr">
        <is>
          <t>inicio</t>
        </is>
      </c>
      <c r="D1" s="22" t="inlineStr">
        <is>
          <t>fim</t>
        </is>
      </c>
      <c r="E1" s="22" t="inlineStr">
        <is>
          <t>zenhub_sprint_id</t>
        </is>
      </c>
      <c r="F1" s="22" t="inlineStr">
        <is>
          <t>observacao</t>
        </is>
      </c>
      <c r="G1" s="29" t="inlineStr">
        <is>
          <t>semanas</t>
        </is>
      </c>
      <c r="H1" s="29" t="inlineStr">
        <is>
          <t>horas_reais</t>
        </is>
      </c>
    </row>
    <row r="2">
      <c r="A2" s="28" t="n">
        <v>1</v>
      </c>
      <c r="B2" s="28" t="inlineStr">
        <is>
          <t>R1</t>
        </is>
      </c>
      <c r="C2" s="30" t="n">
        <v>46258</v>
      </c>
      <c r="D2" s="30" t="n">
        <v>46271</v>
      </c>
      <c r="E2" s="28" t="inlineStr">
        <is>
          <t>Z2lkOi8vcmFwdG9yL1NwcmludC81MjU3NTU4</t>
        </is>
      </c>
      <c r="F2" s="20" t="inlineStr">
        <is>
          <t>Quinzenal: diagnóstico e Lean Inception</t>
        </is>
      </c>
      <c r="G2" s="26">
        <f>IF(C2="","",(D2-C2+1)/7)</f>
        <v/>
      </c>
      <c r="H2" s="26">
        <f>IF(A2="","",SUMIF(Horas!$A:$A,A2,Horas!$C:$C))</f>
        <v/>
      </c>
    </row>
    <row r="3">
      <c r="A3" s="28" t="n">
        <v>2</v>
      </c>
      <c r="B3" s="28" t="inlineStr">
        <is>
          <t>R1</t>
        </is>
      </c>
      <c r="C3" s="30" t="n">
        <v>46272</v>
      </c>
      <c r="D3" s="30" t="n">
        <v>46285</v>
      </c>
      <c r="E3" s="28" t="inlineStr">
        <is>
          <t>Z2lkOi8vcmFwdG9yL1NwcmludC81MjU3NTU5</t>
        </is>
      </c>
      <c r="F3" s="20" t="inlineStr">
        <is>
          <t>Quinzenal: migração dos repositórios e EAP</t>
        </is>
      </c>
      <c r="G3" s="26">
        <f>IF(C3="","",(D3-C3+1)/7)</f>
        <v/>
      </c>
      <c r="H3" s="26">
        <f>IF(A3="","",SUMIF(Horas!$A:$A,A3,Horas!$C:$C))</f>
        <v/>
      </c>
    </row>
    <row r="4">
      <c r="A4" s="28" t="n">
        <v>3</v>
      </c>
      <c r="B4" s="28" t="inlineStr">
        <is>
          <t>R1</t>
        </is>
      </c>
      <c r="C4" s="30" t="n">
        <v>46286</v>
      </c>
      <c r="D4" s="30" t="n">
        <v>46292</v>
      </c>
      <c r="E4" s="28" t="inlineStr">
        <is>
          <t>Z2lkOi8vcmFwdG9yL1NwcmludC81MjU3NTYw</t>
        </is>
      </c>
      <c r="F4" s="20" t="inlineStr">
        <is>
          <t>Semanal a partir daqui</t>
        </is>
      </c>
      <c r="G4" s="26">
        <f>IF(C4="","",(D4-C4+1)/7)</f>
        <v/>
      </c>
      <c r="H4" s="26">
        <f>IF(A4="","",SUMIF(Horas!$A:$A,A4,Horas!$C:$C))</f>
        <v/>
      </c>
    </row>
    <row r="5">
      <c r="A5" s="28" t="n">
        <v>4</v>
      </c>
      <c r="B5" s="28" t="inlineStr">
        <is>
          <t>R2</t>
        </is>
      </c>
      <c r="C5" s="30" t="n">
        <v>46293</v>
      </c>
      <c r="D5" s="30" t="n">
        <v>46299</v>
      </c>
      <c r="E5" s="28" t="inlineStr">
        <is>
          <t>Z2lkOi8vcmFwdG9yL1NwcmludC81MjU3NTYx</t>
        </is>
      </c>
      <c r="F5" s="20" t="n"/>
      <c r="G5" s="26">
        <f>IF(C5="","",(D5-C5+1)/7)</f>
        <v/>
      </c>
      <c r="H5" s="26">
        <f>IF(A5="","",SUMIF(Horas!$A:$A,A5,Horas!$C:$C))</f>
        <v/>
      </c>
    </row>
    <row r="6">
      <c r="A6" s="28" t="n">
        <v>5</v>
      </c>
      <c r="B6" s="28" t="inlineStr">
        <is>
          <t>R2</t>
        </is>
      </c>
      <c r="C6" s="30" t="n">
        <v>46300</v>
      </c>
      <c r="D6" s="30" t="n">
        <v>46306</v>
      </c>
      <c r="E6" s="28" t="inlineStr">
        <is>
          <t>Z2lkOi8vcmFwdG9yL1NwcmludC81MjU3NTYy</t>
        </is>
      </c>
      <c r="F6" s="20" t="n"/>
      <c r="G6" s="26">
        <f>IF(C6="","",(D6-C6+1)/7)</f>
        <v/>
      </c>
      <c r="H6" s="26">
        <f>IF(A6="","",SUMIF(Horas!$A:$A,A6,Horas!$C:$C))</f>
        <v/>
      </c>
    </row>
    <row r="7">
      <c r="A7" s="28" t="n">
        <v>6</v>
      </c>
      <c r="B7" s="28" t="inlineStr">
        <is>
          <t>R2</t>
        </is>
      </c>
      <c r="C7" s="30" t="n">
        <v>46307</v>
      </c>
      <c r="D7" s="30" t="n">
        <v>46313</v>
      </c>
      <c r="E7" s="28" t="inlineStr">
        <is>
          <t>Z2lkOi8vcmFwdG9yL1NwcmludC81MjU3NTYz</t>
        </is>
      </c>
      <c r="F7" s="20" t="inlineStr">
        <is>
          <t>Feriado 12/10</t>
        </is>
      </c>
      <c r="G7" s="26">
        <f>IF(C7="","",(D7-C7+1)/7)</f>
        <v/>
      </c>
      <c r="H7" s="26">
        <f>IF(A7="","",SUMIF(Horas!$A:$A,A7,Horas!$C:$C))</f>
        <v/>
      </c>
    </row>
    <row r="8">
      <c r="A8" s="28" t="n">
        <v>7</v>
      </c>
      <c r="B8" s="28" t="inlineStr">
        <is>
          <t>R2</t>
        </is>
      </c>
      <c r="C8" s="30" t="n">
        <v>46314</v>
      </c>
      <c r="D8" s="30" t="n">
        <v>46320</v>
      </c>
      <c r="E8" s="28" t="inlineStr">
        <is>
          <t>Z2lkOi8vcmFwdG9yL1NwcmludC81MjU3NTY0</t>
        </is>
      </c>
      <c r="F8" s="20" t="n"/>
      <c r="G8" s="26">
        <f>IF(C8="","",(D8-C8+1)/7)</f>
        <v/>
      </c>
      <c r="H8" s="26">
        <f>IF(A8="","",SUMIF(Horas!$A:$A,A8,Horas!$C:$C))</f>
        <v/>
      </c>
    </row>
    <row r="9">
      <c r="A9" s="28" t="n">
        <v>8</v>
      </c>
      <c r="B9" s="28" t="inlineStr">
        <is>
          <t>R3</t>
        </is>
      </c>
      <c r="C9" s="30" t="n">
        <v>46321</v>
      </c>
      <c r="D9" s="30" t="n">
        <v>46327</v>
      </c>
      <c r="E9" s="28" t="inlineStr">
        <is>
          <t>Z2lkOi8vcmFwdG9yL1NwcmludC81MjU3NTY1</t>
        </is>
      </c>
      <c r="F9" s="20" t="n"/>
      <c r="G9" s="26">
        <f>IF(C9="","",(D9-C9+1)/7)</f>
        <v/>
      </c>
      <c r="H9" s="26">
        <f>IF(A9="","",SUMIF(Horas!$A:$A,A9,Horas!$C:$C))</f>
        <v/>
      </c>
    </row>
    <row r="10">
      <c r="A10" s="28" t="n">
        <v>9</v>
      </c>
      <c r="B10" s="28" t="inlineStr">
        <is>
          <t>R3</t>
        </is>
      </c>
      <c r="C10" s="30" t="n">
        <v>46328</v>
      </c>
      <c r="D10" s="30" t="n">
        <v>46334</v>
      </c>
      <c r="E10" s="28" t="inlineStr">
        <is>
          <t>Z2lkOi8vcmFwdG9yL1NwcmludC81Mjg3ODAw</t>
        </is>
      </c>
      <c r="F10" s="20" t="inlineStr">
        <is>
          <t>Feriado 02/11</t>
        </is>
      </c>
      <c r="G10" s="26">
        <f>IF(C10="","",(D10-C10+1)/7)</f>
        <v/>
      </c>
      <c r="H10" s="26">
        <f>IF(A10="","",SUMIF(Horas!$A:$A,A10,Horas!$C:$C))</f>
        <v/>
      </c>
    </row>
    <row r="11">
      <c r="A11" s="28" t="n">
        <v>10</v>
      </c>
      <c r="B11" s="28" t="inlineStr">
        <is>
          <t>R3</t>
        </is>
      </c>
      <c r="C11" s="30" t="n">
        <v>46335</v>
      </c>
      <c r="D11" s="30" t="n">
        <v>46341</v>
      </c>
      <c r="E11" s="28" t="inlineStr">
        <is>
          <t>Z2lkOi8vcmFwdG9yL1NwcmludC81MzA5OTI3</t>
        </is>
      </c>
      <c r="F11" s="20" t="n"/>
      <c r="G11" s="26">
        <f>IF(C11="","",(D11-C11+1)/7)</f>
        <v/>
      </c>
      <c r="H11" s="26">
        <f>IF(A11="","",SUMIF(Horas!$A:$A,A11,Horas!$C:$C))</f>
        <v/>
      </c>
    </row>
    <row r="12">
      <c r="A12" s="28" t="n">
        <v>11</v>
      </c>
      <c r="B12" s="28" t="inlineStr">
        <is>
          <t>R3</t>
        </is>
      </c>
      <c r="C12" s="30" t="n">
        <v>46342</v>
      </c>
      <c r="D12" s="30" t="n">
        <v>46348</v>
      </c>
      <c r="E12" s="31" t="n"/>
      <c r="F12" s="20" t="inlineStr">
        <is>
          <t>Sprint ainda não criada no Zenhub</t>
        </is>
      </c>
      <c r="G12" s="26">
        <f>IF(C12="","",(D12-C12+1)/7)</f>
        <v/>
      </c>
      <c r="H12" s="26">
        <f>IF(A12="","",SUMIF(Horas!$A:$A,A12,Horas!$C:$C))</f>
        <v/>
      </c>
    </row>
    <row r="13">
      <c r="A13" s="28" t="n">
        <v>12</v>
      </c>
      <c r="B13" s="28" t="inlineStr">
        <is>
          <t>R3</t>
        </is>
      </c>
      <c r="C13" s="30" t="n">
        <v>46349</v>
      </c>
      <c r="D13" s="30" t="n">
        <v>46355</v>
      </c>
      <c r="E13" s="31" t="n"/>
      <c r="F13" s="20" t="inlineStr">
        <is>
          <t>Sprint ainda não criada no Zenhub</t>
        </is>
      </c>
      <c r="G13" s="26">
        <f>IF(C13="","",(D13-C13+1)/7)</f>
        <v/>
      </c>
      <c r="H13" s="26">
        <f>IF(A13="","",SUMIF(Horas!$A:$A,A13,Horas!$C:$C))</f>
        <v/>
      </c>
    </row>
  </sheetData>
  <conditionalFormatting sqref="A2:H150">
    <cfRule type="expression" priority="1" dxfId="0">
      <formula>MOD(ROW(),2)=0</formula>
    </cfRule>
  </conditionalFormatting>
  <dataValidations count="1">
    <dataValidation sqref="B2:B100" showDropDown="0" showInputMessage="0" showErrorMessage="1" allowBlank="1" error="Escolha um valor da lista." type="list">
      <formula1>"R1,R2,R3"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6" customWidth="1" min="3" max="3"/>
    <col width="60" customWidth="1" min="4" max="4"/>
    <col width="9" customWidth="1" min="5" max="5"/>
    <col width="10" customWidth="1" min="6" max="6"/>
    <col width="16" customWidth="1" min="7" max="7"/>
    <col width="14" customWidth="1" min="8" max="8"/>
    <col width="12" customWidth="1" min="9" max="9"/>
  </cols>
  <sheetData>
    <row r="1" ht="30" customHeight="1">
      <c r="A1" s="22" t="inlineStr">
        <is>
          <t>release</t>
        </is>
      </c>
      <c r="B1" s="22" t="inlineStr">
        <is>
          <t>entrega</t>
        </is>
      </c>
      <c r="C1" s="22" t="inlineStr">
        <is>
          <t>prp_linha_de_base</t>
        </is>
      </c>
      <c r="D1" s="22" t="inlineStr">
        <is>
          <t>observacao</t>
        </is>
      </c>
      <c r="E1" s="29" t="inlineStr">
        <is>
          <t>sprints</t>
        </is>
      </c>
      <c r="F1" s="29" t="inlineStr">
        <is>
          <t>semanas</t>
        </is>
      </c>
      <c r="G1" s="29" t="inlineStr">
        <is>
          <t>horas_planejadas</t>
        </is>
      </c>
      <c r="H1" s="29" t="inlineStr">
        <is>
          <t>bac_rs</t>
        </is>
      </c>
      <c r="I1" s="29" t="inlineStr">
        <is>
          <t>horas_reais</t>
        </is>
      </c>
    </row>
    <row r="2">
      <c r="A2" s="28" t="inlineStr">
        <is>
          <t>R1</t>
        </is>
      </c>
      <c r="B2" s="30" t="n">
        <v>46293</v>
      </c>
      <c r="C2" s="25" t="n"/>
      <c r="D2" s="20" t="inlineStr">
        <is>
          <t>Sem linha de base: o sequenciador da Lean Inception não fechou. O app reconstitui o PRP a partir do Zenhub.</t>
        </is>
      </c>
      <c r="E2" s="16">
        <f>COUNTIF(Sprints!$B:$B,A2)</f>
        <v/>
      </c>
      <c r="F2" s="26">
        <f>SUMIF(Sprints!$B:$B,A2,Sprints!$G:$G)</f>
        <v/>
      </c>
      <c r="G2" s="17">
        <f>IF(Parametros!$B$3="","",Parametros!$B$2*Parametros!$B$3*F2)</f>
        <v/>
      </c>
      <c r="H2" s="21">
        <f>IF(OR(G2="",Parametros!$B$4=""),"",G2*Parametros!$B$4+F2*Custos!$B$28)</f>
        <v/>
      </c>
      <c r="I2" s="18">
        <f>SUMIF(Sprints!$B:$B,A2,Sprints!$H:$H)</f>
        <v/>
      </c>
    </row>
    <row r="3">
      <c r="A3" s="28" t="inlineStr">
        <is>
          <t>R2</t>
        </is>
      </c>
      <c r="B3" s="30" t="n">
        <v>46321</v>
      </c>
      <c r="C3" s="32" t="n"/>
      <c r="D3" s="20" t="inlineStr">
        <is>
          <t>Congelar na planning de 28/09.</t>
        </is>
      </c>
      <c r="E3" s="16">
        <f>COUNTIF(Sprints!$B:$B,A3)</f>
        <v/>
      </c>
      <c r="F3" s="26">
        <f>SUMIF(Sprints!$B:$B,A3,Sprints!$G:$G)</f>
        <v/>
      </c>
      <c r="G3" s="17">
        <f>IF(Parametros!$B$3="","",Parametros!$B$2*Parametros!$B$3*F3)</f>
        <v/>
      </c>
      <c r="H3" s="21">
        <f>IF(OR(G3="",Parametros!$B$4=""),"",G3*Parametros!$B$4+F3*Custos!$B$28)</f>
        <v/>
      </c>
      <c r="I3" s="18">
        <f>SUMIF(Sprints!$B:$B,A3,Sprints!$H:$H)</f>
        <v/>
      </c>
    </row>
    <row r="4">
      <c r="A4" s="28" t="inlineStr">
        <is>
          <t>R3</t>
        </is>
      </c>
      <c r="B4" s="30" t="n">
        <v>46356</v>
      </c>
      <c r="C4" s="32" t="n"/>
      <c r="D4" s="20" t="inlineStr">
        <is>
          <t>Congelar na planning de 26/10.</t>
        </is>
      </c>
      <c r="E4" s="16">
        <f>COUNTIF(Sprints!$B:$B,A4)</f>
        <v/>
      </c>
      <c r="F4" s="26">
        <f>SUMIF(Sprints!$B:$B,A4,Sprints!$G:$G)</f>
        <v/>
      </c>
      <c r="G4" s="17">
        <f>IF(Parametros!$B$3="","",Parametros!$B$2*Parametros!$B$3*F4)</f>
        <v/>
      </c>
      <c r="H4" s="21">
        <f>IF(OR(G4="",Parametros!$B$4=""),"",G4*Parametros!$B$4+F4*Custos!$B$28)</f>
        <v/>
      </c>
      <c r="I4" s="18">
        <f>SUMIF(Sprints!$B:$B,A4,Sprints!$H:$H)</f>
        <v/>
      </c>
    </row>
  </sheetData>
  <conditionalFormatting sqref="A2:I150">
    <cfRule type="expression" priority="1" dxfId="0">
      <formula>MOD(ROW(),2)=0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A5F"/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60" customWidth="1" min="4" max="4"/>
  </cols>
  <sheetData>
    <row r="1" ht="30" customHeight="1">
      <c r="A1" s="22" t="inlineStr">
        <is>
          <t>sprint</t>
        </is>
      </c>
      <c r="B1" s="22" t="inlineStr">
        <is>
          <t>integrante</t>
        </is>
      </c>
      <c r="C1" s="22" t="inlineStr">
        <is>
          <t>horas</t>
        </is>
      </c>
      <c r="D1" s="22" t="inlineStr">
        <is>
          <t>observacao</t>
        </is>
      </c>
    </row>
    <row r="2">
      <c r="A2" s="28" t="n">
        <v>1</v>
      </c>
      <c r="B2" s="28" t="inlineStr">
        <is>
          <t>Alexandre de Sanana Beck</t>
        </is>
      </c>
      <c r="C2" s="33" t="n"/>
      <c r="D2" s="20" t="n"/>
    </row>
    <row r="3">
      <c r="A3" s="28" t="n">
        <v>1</v>
      </c>
      <c r="B3" s="28" t="inlineStr">
        <is>
          <t>Antônio José Magalhães Leão Júnior</t>
        </is>
      </c>
      <c r="C3" s="33" t="n"/>
      <c r="D3" s="20" t="n"/>
    </row>
    <row r="4">
      <c r="A4" s="28" t="n">
        <v>1</v>
      </c>
      <c r="B4" s="28" t="inlineStr">
        <is>
          <t>Daniel Ferreira Santos Rabelo</t>
        </is>
      </c>
      <c r="C4" s="33" t="n"/>
      <c r="D4" s="20" t="n"/>
    </row>
    <row r="5">
      <c r="A5" s="28" t="n">
        <v>1</v>
      </c>
      <c r="B5" s="28" t="inlineStr">
        <is>
          <t>Diego Carlito Rodrigues de Souza</t>
        </is>
      </c>
      <c r="C5" s="33" t="n"/>
      <c r="D5" s="20" t="n"/>
    </row>
    <row r="6">
      <c r="A6" s="28" t="n">
        <v>1</v>
      </c>
      <c r="B6" s="28" t="inlineStr">
        <is>
          <t>Diogo Rodrigues Barboza</t>
        </is>
      </c>
      <c r="C6" s="33" t="n"/>
      <c r="D6" s="20" t="n"/>
    </row>
    <row r="7">
      <c r="A7" s="28" t="n">
        <v>1</v>
      </c>
      <c r="B7" s="28" t="inlineStr">
        <is>
          <t>Gabriel Marques de Souza</t>
        </is>
      </c>
      <c r="C7" s="33" t="n"/>
      <c r="D7" s="20" t="n"/>
    </row>
    <row r="8">
      <c r="A8" s="28" t="n">
        <v>1</v>
      </c>
      <c r="B8" s="28" t="inlineStr">
        <is>
          <t>Gabriel Moura</t>
        </is>
      </c>
      <c r="C8" s="33" t="n"/>
      <c r="D8" s="20" t="n"/>
    </row>
    <row r="9">
      <c r="A9" s="28" t="n">
        <v>1</v>
      </c>
      <c r="B9" s="28" t="inlineStr">
        <is>
          <t>Guilherme Storch</t>
        </is>
      </c>
      <c r="C9" s="33" t="n"/>
      <c r="D9" s="20" t="n"/>
    </row>
    <row r="10">
      <c r="A10" s="28" t="n">
        <v>1</v>
      </c>
      <c r="B10" s="28" t="inlineStr">
        <is>
          <t>Gustavo Roberto Silva de Melo</t>
        </is>
      </c>
      <c r="C10" s="33" t="n"/>
      <c r="D10" s="20" t="n"/>
    </row>
    <row r="11">
      <c r="A11" s="28" t="n">
        <v>1</v>
      </c>
      <c r="B11" s="28" t="inlineStr">
        <is>
          <t>Henrique Camelo Quenino</t>
        </is>
      </c>
      <c r="C11" s="33" t="n"/>
      <c r="D11" s="20" t="n"/>
    </row>
    <row r="12">
      <c r="A12" s="28" t="n">
        <v>1</v>
      </c>
      <c r="B12" s="28" t="inlineStr">
        <is>
          <t>Kathlyn Lara Murussi</t>
        </is>
      </c>
      <c r="C12" s="33" t="n"/>
      <c r="D12" s="20" t="n"/>
    </row>
    <row r="13">
      <c r="A13" s="28" t="n">
        <v>1</v>
      </c>
      <c r="B13" s="28" t="inlineStr">
        <is>
          <t>Lucas Bottino</t>
        </is>
      </c>
      <c r="C13" s="33" t="n"/>
      <c r="D13" s="20" t="n"/>
    </row>
    <row r="14">
      <c r="A14" s="28" t="n">
        <v>1</v>
      </c>
      <c r="B14" s="28" t="inlineStr">
        <is>
          <t>Luciano Freitas</t>
        </is>
      </c>
      <c r="C14" s="33" t="n"/>
      <c r="D14" s="20" t="n"/>
    </row>
    <row r="15">
      <c r="A15" s="28" t="n">
        <v>1</v>
      </c>
      <c r="B15" s="28" t="inlineStr">
        <is>
          <t>Luiza Maluf</t>
        </is>
      </c>
      <c r="C15" s="33" t="n"/>
      <c r="D15" s="20" t="n"/>
    </row>
    <row r="16">
      <c r="A16" s="28" t="n">
        <v>1</v>
      </c>
      <c r="B16" s="28" t="inlineStr">
        <is>
          <t>Manoel Felipe Teixeira Neto</t>
        </is>
      </c>
      <c r="C16" s="33" t="n"/>
      <c r="D16" s="20" t="n"/>
    </row>
    <row r="17">
      <c r="A17" s="28" t="n">
        <v>1</v>
      </c>
      <c r="B17" s="28" t="inlineStr">
        <is>
          <t>Marcos Antonio Teles de Castilhos</t>
        </is>
      </c>
      <c r="C17" s="33" t="n"/>
      <c r="D17" s="20" t="n"/>
    </row>
    <row r="18">
      <c r="A18" s="28" t="n">
        <v>1</v>
      </c>
      <c r="B18" s="28" t="inlineStr">
        <is>
          <t>Milena Fernandes Rocha</t>
        </is>
      </c>
      <c r="C18" s="33" t="n"/>
      <c r="D18" s="20" t="n"/>
    </row>
    <row r="19">
      <c r="A19" s="28" t="n">
        <v>1</v>
      </c>
      <c r="B19" s="28" t="inlineStr">
        <is>
          <t>Nathan Benigno Ponce de Abreu</t>
        </is>
      </c>
      <c r="C19" s="33" t="n"/>
      <c r="D19" s="20" t="n"/>
    </row>
    <row r="20">
      <c r="A20" s="28" t="n">
        <v>1</v>
      </c>
      <c r="B20" s="28" t="inlineStr">
        <is>
          <t>Pedro Sena Barbosa Holtz Yen</t>
        </is>
      </c>
      <c r="C20" s="33" t="n"/>
      <c r="D20" s="20" t="n"/>
    </row>
    <row r="21">
      <c r="A21" s="28" t="n">
        <v>1</v>
      </c>
      <c r="B21" s="28" t="inlineStr">
        <is>
          <t>Wallyson Souza</t>
        </is>
      </c>
      <c r="C21" s="33" t="n"/>
      <c r="D21" s="20" t="n"/>
    </row>
    <row r="22">
      <c r="A22" s="28" t="n">
        <v>2</v>
      </c>
      <c r="B22" s="28" t="inlineStr">
        <is>
          <t>Alexandre de Sanana Beck</t>
        </is>
      </c>
      <c r="C22" s="33" t="n"/>
      <c r="D22" s="20" t="n"/>
    </row>
    <row r="23">
      <c r="A23" s="28" t="n">
        <v>2</v>
      </c>
      <c r="B23" s="28" t="inlineStr">
        <is>
          <t>Antônio José Magalhães Leão Júnior</t>
        </is>
      </c>
      <c r="C23" s="33" t="n"/>
      <c r="D23" s="20" t="n"/>
    </row>
    <row r="24">
      <c r="A24" s="28" t="n">
        <v>2</v>
      </c>
      <c r="B24" s="28" t="inlineStr">
        <is>
          <t>Daniel Ferreira Santos Rabelo</t>
        </is>
      </c>
      <c r="C24" s="33" t="n"/>
      <c r="D24" s="20" t="n"/>
    </row>
    <row r="25">
      <c r="A25" s="28" t="n">
        <v>2</v>
      </c>
      <c r="B25" s="28" t="inlineStr">
        <is>
          <t>Diego Carlito Rodrigues de Souza</t>
        </is>
      </c>
      <c r="C25" s="33" t="n"/>
      <c r="D25" s="20" t="n"/>
    </row>
    <row r="26">
      <c r="A26" s="28" t="n">
        <v>2</v>
      </c>
      <c r="B26" s="28" t="inlineStr">
        <is>
          <t>Diogo Rodrigues Barboza</t>
        </is>
      </c>
      <c r="C26" s="33" t="n"/>
      <c r="D26" s="20" t="n"/>
    </row>
    <row r="27">
      <c r="A27" s="28" t="n">
        <v>2</v>
      </c>
      <c r="B27" s="28" t="inlineStr">
        <is>
          <t>Gabriel Marques de Souza</t>
        </is>
      </c>
      <c r="C27" s="33" t="n"/>
      <c r="D27" s="20" t="n"/>
    </row>
    <row r="28">
      <c r="A28" s="28" t="n">
        <v>2</v>
      </c>
      <c r="B28" s="28" t="inlineStr">
        <is>
          <t>Gabriel Moura</t>
        </is>
      </c>
      <c r="C28" s="33" t="n"/>
      <c r="D28" s="20" t="n"/>
    </row>
    <row r="29">
      <c r="A29" s="28" t="n">
        <v>2</v>
      </c>
      <c r="B29" s="28" t="inlineStr">
        <is>
          <t>Guilherme Storch</t>
        </is>
      </c>
      <c r="C29" s="33" t="n"/>
      <c r="D29" s="20" t="n"/>
    </row>
    <row r="30">
      <c r="A30" s="28" t="n">
        <v>2</v>
      </c>
      <c r="B30" s="28" t="inlineStr">
        <is>
          <t>Gustavo Roberto Silva de Melo</t>
        </is>
      </c>
      <c r="C30" s="33" t="n"/>
      <c r="D30" s="20" t="n"/>
    </row>
    <row r="31">
      <c r="A31" s="28" t="n">
        <v>2</v>
      </c>
      <c r="B31" s="28" t="inlineStr">
        <is>
          <t>Henrique Camelo Quenino</t>
        </is>
      </c>
      <c r="C31" s="33" t="n"/>
      <c r="D31" s="20" t="n"/>
    </row>
    <row r="32">
      <c r="A32" s="28" t="n">
        <v>2</v>
      </c>
      <c r="B32" s="28" t="inlineStr">
        <is>
          <t>Kathlyn Lara Murussi</t>
        </is>
      </c>
      <c r="C32" s="33" t="n"/>
      <c r="D32" s="20" t="n"/>
    </row>
    <row r="33">
      <c r="A33" s="28" t="n">
        <v>2</v>
      </c>
      <c r="B33" s="28" t="inlineStr">
        <is>
          <t>Lucas Bottino</t>
        </is>
      </c>
      <c r="C33" s="33" t="n"/>
      <c r="D33" s="20" t="n"/>
    </row>
    <row r="34">
      <c r="A34" s="28" t="n">
        <v>2</v>
      </c>
      <c r="B34" s="28" t="inlineStr">
        <is>
          <t>Luciano Freitas</t>
        </is>
      </c>
      <c r="C34" s="33" t="n"/>
      <c r="D34" s="20" t="n"/>
    </row>
    <row r="35">
      <c r="A35" s="28" t="n">
        <v>2</v>
      </c>
      <c r="B35" s="28" t="inlineStr">
        <is>
          <t>Luiza Maluf</t>
        </is>
      </c>
      <c r="C35" s="33" t="n"/>
      <c r="D35" s="20" t="n"/>
    </row>
    <row r="36">
      <c r="A36" s="28" t="n">
        <v>2</v>
      </c>
      <c r="B36" s="28" t="inlineStr">
        <is>
          <t>Manoel Felipe Teixeira Neto</t>
        </is>
      </c>
      <c r="C36" s="33" t="n"/>
      <c r="D36" s="20" t="n"/>
    </row>
    <row r="37">
      <c r="A37" s="28" t="n">
        <v>2</v>
      </c>
      <c r="B37" s="28" t="inlineStr">
        <is>
          <t>Marcos Antonio Teles de Castilhos</t>
        </is>
      </c>
      <c r="C37" s="33" t="n"/>
      <c r="D37" s="20" t="n"/>
    </row>
    <row r="38">
      <c r="A38" s="28" t="n">
        <v>2</v>
      </c>
      <c r="B38" s="28" t="inlineStr">
        <is>
          <t>Milena Fernandes Rocha</t>
        </is>
      </c>
      <c r="C38" s="33" t="n"/>
      <c r="D38" s="20" t="n"/>
    </row>
    <row r="39">
      <c r="A39" s="28" t="n">
        <v>2</v>
      </c>
      <c r="B39" s="28" t="inlineStr">
        <is>
          <t>Nathan Benigno Ponce de Abreu</t>
        </is>
      </c>
      <c r="C39" s="33" t="n"/>
      <c r="D39" s="20" t="n"/>
    </row>
    <row r="40">
      <c r="A40" s="28" t="n">
        <v>2</v>
      </c>
      <c r="B40" s="28" t="inlineStr">
        <is>
          <t>Pedro Sena Barbosa Holtz Yen</t>
        </is>
      </c>
      <c r="C40" s="33" t="n"/>
      <c r="D40" s="20" t="n"/>
    </row>
    <row r="41">
      <c r="A41" s="28" t="n">
        <v>2</v>
      </c>
      <c r="B41" s="28" t="inlineStr">
        <is>
          <t>Wallyson Souza</t>
        </is>
      </c>
      <c r="C41" s="33" t="n"/>
      <c r="D41" s="20" t="n"/>
    </row>
    <row r="42">
      <c r="A42" s="28" t="n">
        <v>3</v>
      </c>
      <c r="B42" s="28" t="inlineStr">
        <is>
          <t>Alexandre de Sanana Beck</t>
        </is>
      </c>
      <c r="C42" s="33" t="n"/>
      <c r="D42" s="20" t="n"/>
    </row>
    <row r="43">
      <c r="A43" s="28" t="n">
        <v>3</v>
      </c>
      <c r="B43" s="28" t="inlineStr">
        <is>
          <t>Antônio José Magalhães Leão Júnior</t>
        </is>
      </c>
      <c r="C43" s="33" t="n"/>
      <c r="D43" s="20" t="n"/>
    </row>
    <row r="44">
      <c r="A44" s="28" t="n">
        <v>3</v>
      </c>
      <c r="B44" s="28" t="inlineStr">
        <is>
          <t>Daniel Ferreira Santos Rabelo</t>
        </is>
      </c>
      <c r="C44" s="33" t="n"/>
      <c r="D44" s="20" t="n"/>
    </row>
    <row r="45">
      <c r="A45" s="28" t="n">
        <v>3</v>
      </c>
      <c r="B45" s="28" t="inlineStr">
        <is>
          <t>Diego Carlito Rodrigues de Souza</t>
        </is>
      </c>
      <c r="C45" s="33" t="n"/>
      <c r="D45" s="20" t="n"/>
    </row>
    <row r="46">
      <c r="A46" s="28" t="n">
        <v>3</v>
      </c>
      <c r="B46" s="28" t="inlineStr">
        <is>
          <t>Diogo Rodrigues Barboza</t>
        </is>
      </c>
      <c r="C46" s="33" t="n"/>
      <c r="D46" s="20" t="n"/>
    </row>
    <row r="47">
      <c r="A47" s="28" t="n">
        <v>3</v>
      </c>
      <c r="B47" s="28" t="inlineStr">
        <is>
          <t>Gabriel Marques de Souza</t>
        </is>
      </c>
      <c r="C47" s="33" t="n"/>
      <c r="D47" s="20" t="n"/>
    </row>
    <row r="48">
      <c r="A48" s="28" t="n">
        <v>3</v>
      </c>
      <c r="B48" s="28" t="inlineStr">
        <is>
          <t>Gabriel Moura</t>
        </is>
      </c>
      <c r="C48" s="33" t="n"/>
      <c r="D48" s="20" t="n"/>
    </row>
    <row r="49">
      <c r="A49" s="28" t="n">
        <v>3</v>
      </c>
      <c r="B49" s="28" t="inlineStr">
        <is>
          <t>Guilherme Storch</t>
        </is>
      </c>
      <c r="C49" s="33" t="n"/>
      <c r="D49" s="20" t="n"/>
    </row>
    <row r="50">
      <c r="A50" s="28" t="n">
        <v>3</v>
      </c>
      <c r="B50" s="28" t="inlineStr">
        <is>
          <t>Gustavo Roberto Silva de Melo</t>
        </is>
      </c>
      <c r="C50" s="33" t="n"/>
      <c r="D50" s="20" t="n"/>
    </row>
    <row r="51">
      <c r="A51" s="28" t="n">
        <v>3</v>
      </c>
      <c r="B51" s="28" t="inlineStr">
        <is>
          <t>Henrique Camelo Quenino</t>
        </is>
      </c>
      <c r="C51" s="33" t="n"/>
      <c r="D51" s="20" t="n"/>
    </row>
    <row r="52">
      <c r="A52" s="28" t="n">
        <v>3</v>
      </c>
      <c r="B52" s="28" t="inlineStr">
        <is>
          <t>Kathlyn Lara Murussi</t>
        </is>
      </c>
      <c r="C52" s="33" t="n"/>
      <c r="D52" s="20" t="n"/>
    </row>
    <row r="53">
      <c r="A53" s="28" t="n">
        <v>3</v>
      </c>
      <c r="B53" s="28" t="inlineStr">
        <is>
          <t>Lucas Bottino</t>
        </is>
      </c>
      <c r="C53" s="33" t="n"/>
      <c r="D53" s="20" t="n"/>
    </row>
    <row r="54">
      <c r="A54" s="28" t="n">
        <v>3</v>
      </c>
      <c r="B54" s="28" t="inlineStr">
        <is>
          <t>Luciano Freitas</t>
        </is>
      </c>
      <c r="C54" s="33" t="n"/>
      <c r="D54" s="20" t="n"/>
    </row>
    <row r="55">
      <c r="A55" s="28" t="n">
        <v>3</v>
      </c>
      <c r="B55" s="28" t="inlineStr">
        <is>
          <t>Luiza Maluf</t>
        </is>
      </c>
      <c r="C55" s="33" t="n"/>
      <c r="D55" s="20" t="n"/>
    </row>
    <row r="56">
      <c r="A56" s="28" t="n">
        <v>3</v>
      </c>
      <c r="B56" s="28" t="inlineStr">
        <is>
          <t>Manoel Felipe Teixeira Neto</t>
        </is>
      </c>
      <c r="C56" s="33" t="n"/>
      <c r="D56" s="20" t="n"/>
    </row>
    <row r="57">
      <c r="A57" s="28" t="n">
        <v>3</v>
      </c>
      <c r="B57" s="28" t="inlineStr">
        <is>
          <t>Marcos Antonio Teles de Castilhos</t>
        </is>
      </c>
      <c r="C57" s="33" t="n"/>
      <c r="D57" s="20" t="n"/>
    </row>
    <row r="58">
      <c r="A58" s="28" t="n">
        <v>3</v>
      </c>
      <c r="B58" s="28" t="inlineStr">
        <is>
          <t>Milena Fernandes Rocha</t>
        </is>
      </c>
      <c r="C58" s="33" t="n"/>
      <c r="D58" s="20" t="n"/>
    </row>
    <row r="59">
      <c r="A59" s="28" t="n">
        <v>3</v>
      </c>
      <c r="B59" s="28" t="inlineStr">
        <is>
          <t>Nathan Benigno Ponce de Abreu</t>
        </is>
      </c>
      <c r="C59" s="33" t="n"/>
      <c r="D59" s="20" t="n"/>
    </row>
    <row r="60">
      <c r="A60" s="28" t="n">
        <v>3</v>
      </c>
      <c r="B60" s="28" t="inlineStr">
        <is>
          <t>Pedro Sena Barbosa Holtz Yen</t>
        </is>
      </c>
      <c r="C60" s="33" t="n"/>
      <c r="D60" s="20" t="n"/>
    </row>
    <row r="61">
      <c r="A61" s="28" t="n">
        <v>3</v>
      </c>
      <c r="B61" s="28" t="inlineStr">
        <is>
          <t>Wallyson Souza</t>
        </is>
      </c>
      <c r="C61" s="33" t="n"/>
      <c r="D61" s="20" t="n"/>
    </row>
    <row r="62">
      <c r="A62" s="34" t="n"/>
      <c r="B62" s="34" t="n"/>
      <c r="C62" s="35" t="n"/>
      <c r="D62" s="4" t="n"/>
    </row>
    <row r="63">
      <c r="A63" s="34" t="n"/>
      <c r="B63" s="34" t="n"/>
      <c r="C63" s="35" t="n"/>
      <c r="D63" s="4" t="n"/>
    </row>
    <row r="64">
      <c r="A64" s="34" t="n"/>
      <c r="B64" s="34" t="n"/>
      <c r="C64" s="35" t="n"/>
      <c r="D64" s="4" t="n"/>
    </row>
    <row r="65">
      <c r="A65" s="34" t="n"/>
      <c r="B65" s="34" t="n"/>
      <c r="C65" s="35" t="n"/>
      <c r="D65" s="4" t="n"/>
    </row>
    <row r="66">
      <c r="A66" s="34" t="n"/>
      <c r="B66" s="34" t="n"/>
      <c r="C66" s="35" t="n"/>
      <c r="D66" s="4" t="n"/>
    </row>
    <row r="67">
      <c r="A67" s="34" t="n"/>
      <c r="B67" s="34" t="n"/>
      <c r="C67" s="35" t="n"/>
      <c r="D67" s="4" t="n"/>
    </row>
    <row r="68">
      <c r="A68" s="34" t="n"/>
      <c r="B68" s="34" t="n"/>
      <c r="C68" s="35" t="n"/>
      <c r="D68" s="4" t="n"/>
    </row>
    <row r="69">
      <c r="A69" s="34" t="n"/>
      <c r="B69" s="34" t="n"/>
      <c r="C69" s="35" t="n"/>
      <c r="D69" s="4" t="n"/>
    </row>
    <row r="70">
      <c r="A70" s="34" t="n"/>
      <c r="B70" s="34" t="n"/>
      <c r="C70" s="35" t="n"/>
      <c r="D70" s="4" t="n"/>
    </row>
    <row r="71">
      <c r="A71" s="34" t="n"/>
      <c r="B71" s="34" t="n"/>
      <c r="C71" s="35" t="n"/>
      <c r="D71" s="4" t="n"/>
    </row>
    <row r="72">
      <c r="A72" s="34" t="n"/>
      <c r="B72" s="34" t="n"/>
      <c r="C72" s="35" t="n"/>
      <c r="D72" s="4" t="n"/>
    </row>
    <row r="73">
      <c r="A73" s="34" t="n"/>
      <c r="B73" s="34" t="n"/>
      <c r="C73" s="35" t="n"/>
      <c r="D73" s="4" t="n"/>
    </row>
    <row r="74">
      <c r="A74" s="34" t="n"/>
      <c r="B74" s="34" t="n"/>
      <c r="C74" s="35" t="n"/>
      <c r="D74" s="4" t="n"/>
    </row>
    <row r="75">
      <c r="A75" s="34" t="n"/>
      <c r="B75" s="34" t="n"/>
      <c r="C75" s="35" t="n"/>
      <c r="D75" s="4" t="n"/>
    </row>
    <row r="76">
      <c r="A76" s="34" t="n"/>
      <c r="B76" s="34" t="n"/>
      <c r="C76" s="35" t="n"/>
      <c r="D76" s="4" t="n"/>
    </row>
    <row r="77">
      <c r="A77" s="34" t="n"/>
      <c r="B77" s="34" t="n"/>
      <c r="C77" s="35" t="n"/>
      <c r="D77" s="4" t="n"/>
    </row>
    <row r="78">
      <c r="A78" s="34" t="n"/>
      <c r="B78" s="34" t="n"/>
      <c r="C78" s="35" t="n"/>
      <c r="D78" s="4" t="n"/>
    </row>
    <row r="79">
      <c r="A79" s="34" t="n"/>
      <c r="B79" s="34" t="n"/>
      <c r="C79" s="35" t="n"/>
      <c r="D79" s="4" t="n"/>
    </row>
    <row r="80">
      <c r="A80" s="34" t="n"/>
      <c r="B80" s="34" t="n"/>
      <c r="C80" s="35" t="n"/>
      <c r="D80" s="4" t="n"/>
    </row>
    <row r="81">
      <c r="A81" s="34" t="n"/>
      <c r="B81" s="34" t="n"/>
      <c r="C81" s="35" t="n"/>
      <c r="D81" s="4" t="n"/>
    </row>
    <row r="82">
      <c r="A82" s="34" t="n"/>
      <c r="B82" s="34" t="n"/>
      <c r="C82" s="35" t="n"/>
      <c r="D82" s="4" t="n"/>
    </row>
    <row r="83">
      <c r="A83" s="34" t="n"/>
      <c r="B83" s="34" t="n"/>
      <c r="C83" s="35" t="n"/>
      <c r="D83" s="4" t="n"/>
    </row>
    <row r="84">
      <c r="A84" s="34" t="n"/>
      <c r="B84" s="34" t="n"/>
      <c r="C84" s="35" t="n"/>
      <c r="D84" s="4" t="n"/>
    </row>
    <row r="85">
      <c r="A85" s="34" t="n"/>
      <c r="B85" s="34" t="n"/>
      <c r="C85" s="35" t="n"/>
      <c r="D85" s="4" t="n"/>
    </row>
    <row r="86">
      <c r="A86" s="34" t="n"/>
      <c r="B86" s="34" t="n"/>
      <c r="C86" s="35" t="n"/>
      <c r="D86" s="4" t="n"/>
    </row>
    <row r="87">
      <c r="A87" s="34" t="n"/>
      <c r="B87" s="34" t="n"/>
      <c r="C87" s="35" t="n"/>
      <c r="D87" s="4" t="n"/>
    </row>
    <row r="88">
      <c r="A88" s="34" t="n"/>
      <c r="B88" s="34" t="n"/>
      <c r="C88" s="35" t="n"/>
      <c r="D88" s="4" t="n"/>
    </row>
    <row r="89">
      <c r="A89" s="34" t="n"/>
      <c r="B89" s="34" t="n"/>
      <c r="C89" s="35" t="n"/>
      <c r="D89" s="4" t="n"/>
    </row>
    <row r="90">
      <c r="A90" s="34" t="n"/>
      <c r="B90" s="34" t="n"/>
      <c r="C90" s="35" t="n"/>
      <c r="D90" s="4" t="n"/>
    </row>
    <row r="91">
      <c r="A91" s="34" t="n"/>
      <c r="B91" s="34" t="n"/>
      <c r="C91" s="35" t="n"/>
      <c r="D91" s="4" t="n"/>
    </row>
    <row r="92">
      <c r="A92" s="34" t="n"/>
      <c r="B92" s="34" t="n"/>
      <c r="C92" s="35" t="n"/>
      <c r="D92" s="4" t="n"/>
    </row>
    <row r="93">
      <c r="A93" s="34" t="n"/>
      <c r="B93" s="34" t="n"/>
      <c r="C93" s="35" t="n"/>
      <c r="D93" s="4" t="n"/>
    </row>
    <row r="94">
      <c r="A94" s="34" t="n"/>
      <c r="B94" s="34" t="n"/>
      <c r="C94" s="35" t="n"/>
      <c r="D94" s="4" t="n"/>
    </row>
    <row r="95">
      <c r="A95" s="34" t="n"/>
      <c r="B95" s="34" t="n"/>
      <c r="C95" s="35" t="n"/>
      <c r="D95" s="4" t="n"/>
    </row>
    <row r="96">
      <c r="A96" s="34" t="n"/>
      <c r="B96" s="34" t="n"/>
      <c r="C96" s="35" t="n"/>
      <c r="D96" s="4" t="n"/>
    </row>
    <row r="97">
      <c r="A97" s="34" t="n"/>
      <c r="B97" s="34" t="n"/>
      <c r="C97" s="35" t="n"/>
      <c r="D97" s="4" t="n"/>
    </row>
    <row r="98">
      <c r="A98" s="34" t="n"/>
      <c r="B98" s="34" t="n"/>
      <c r="C98" s="35" t="n"/>
      <c r="D98" s="4" t="n"/>
    </row>
    <row r="99">
      <c r="A99" s="34" t="n"/>
      <c r="B99" s="34" t="n"/>
      <c r="C99" s="35" t="n"/>
      <c r="D99" s="4" t="n"/>
    </row>
    <row r="100">
      <c r="A100" s="34" t="n"/>
      <c r="B100" s="34" t="n"/>
      <c r="C100" s="35" t="n"/>
      <c r="D100" s="4" t="n"/>
    </row>
    <row r="101">
      <c r="A101" s="34" t="n"/>
      <c r="B101" s="34" t="n"/>
      <c r="C101" s="35" t="n"/>
      <c r="D101" s="4" t="n"/>
    </row>
  </sheetData>
  <conditionalFormatting sqref="A2:D150">
    <cfRule type="expression" priority="1" dxfId="0">
      <formula>MOD(ROW(),2)=0</formula>
    </cfRule>
  </conditionalFormatting>
  <dataValidations count="3">
    <dataValidation sqref="A2:A150" showDropDown="0" showInputMessage="1" showErrorMessage="1" allowBlank="1" error="Escolha um valor da lista." prompt="Número da sprint (aba Sprints)." type="list">
      <formula1>=Sprints!$A$2:$A$100</formula1>
    </dataValidation>
    <dataValidation sqref="B2:B150" showDropDown="0" showInputMessage="1" showErrorMessage="1" allowBlank="1" error="Escolha um valor da lista." prompt="Escolha o integrante." type="list">
      <formula1>=Integrantes!$A$2:$A$100</formula1>
    </dataValidation>
    <dataValidation sqref="C2:C150" showDropDown="0" showInputMessage="1" showErrorMessage="1" allowBlank="1" prompt="Horas (número, ≥ 0)." type="decimal" operator="greaterThanOrEqual">
      <formula1>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A5F"/>
    <outlinePr summaryBelow="1" summaryRight="1"/>
    <pageSetUpPr/>
  </sheetPr>
  <dimension ref="A1:P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4" customWidth="1" min="3" max="3"/>
    <col width="30" customWidth="1" min="4" max="4"/>
    <col width="30" customWidth="1" min="5" max="5"/>
    <col width="26" customWidth="1" min="6" max="6"/>
    <col width="12" customWidth="1" min="7" max="7"/>
    <col width="10" customWidth="1" min="8" max="8"/>
    <col width="10" customWidth="1" min="9" max="9"/>
    <col width="10" customWidth="1" min="10" max="10"/>
    <col width="11" customWidth="1" min="11" max="11"/>
    <col width="34" customWidth="1" min="12" max="12"/>
    <col width="34" customWidth="1" min="13" max="13"/>
    <col width="28" customWidth="1" min="14" max="14"/>
    <col width="17" customWidth="1" min="15" max="15"/>
    <col width="13" customWidth="1" min="16" max="16"/>
  </cols>
  <sheetData>
    <row r="1" ht="30" customHeight="1">
      <c r="A1" s="22" t="inlineStr">
        <is>
          <t>id</t>
        </is>
      </c>
      <c r="B1" s="22" t="inlineStr">
        <is>
          <t>categoria</t>
        </is>
      </c>
      <c r="C1" s="22" t="inlineStr">
        <is>
          <t>risco</t>
        </is>
      </c>
      <c r="D1" s="22" t="inlineStr">
        <is>
          <t>causa</t>
        </is>
      </c>
      <c r="E1" s="22" t="inlineStr">
        <is>
          <t>consequencia</t>
        </is>
      </c>
      <c r="F1" s="22" t="inlineStr">
        <is>
          <t>gatilho</t>
        </is>
      </c>
      <c r="G1" s="22" t="inlineStr">
        <is>
          <t>probabilidade</t>
        </is>
      </c>
      <c r="H1" s="22" t="inlineStr">
        <is>
          <t>impacto</t>
        </is>
      </c>
      <c r="I1" s="29" t="inlineStr">
        <is>
          <t>exposicao</t>
        </is>
      </c>
      <c r="J1" s="29" t="inlineStr">
        <is>
          <t>nivel</t>
        </is>
      </c>
      <c r="K1" s="22" t="inlineStr">
        <is>
          <t>resposta</t>
        </is>
      </c>
      <c r="L1" s="22" t="inlineStr">
        <is>
          <t>prevencao</t>
        </is>
      </c>
      <c r="M1" s="22" t="inlineStr">
        <is>
          <t>contingencia</t>
        </is>
      </c>
      <c r="N1" s="22" t="inlineStr">
        <is>
          <t>responsavel</t>
        </is>
      </c>
      <c r="O1" s="22" t="inlineStr">
        <is>
          <t>status</t>
        </is>
      </c>
      <c r="P1" s="22" t="inlineStr">
        <is>
          <t>ultima_revisao</t>
        </is>
      </c>
    </row>
    <row r="2">
      <c r="A2" s="28" t="inlineStr">
        <is>
          <t>R01</t>
        </is>
      </c>
      <c r="B2" s="28" t="inlineStr">
        <is>
          <t>Técnico</t>
        </is>
      </c>
      <c r="C2" s="28" t="inlineStr">
        <is>
          <t>Motor de cálculo publicado não corresponde ao código versionado</t>
        </is>
      </c>
      <c r="D2" s="28" t="inlineStr">
        <is>
          <t>Core versionado em 1.5.3, PyPI com msgram-core 1.5.4 publicado de código fora do repositório; Service usa 1.4.9</t>
        </is>
      </c>
      <c r="E2" s="28" t="inlineStr">
        <is>
          <t>Nota de qualidade não reproduzível; CLI e Web dão resultados diferentes para o mesmo projeto</t>
        </is>
      </c>
      <c r="F2" s="28" t="inlineStr">
        <is>
          <t>Teste de regressão entre CLI e Service com notas diferentes</t>
        </is>
      </c>
      <c r="G2" s="25" t="n">
        <v>4</v>
      </c>
      <c r="H2" s="25" t="n">
        <v>4</v>
      </c>
      <c r="I2" s="36">
        <f>IF(OR(G2="",H2=""),"",G2*H2)</f>
        <v/>
      </c>
      <c r="J2" s="36">
        <f>IF(I2="","",IF(I2&gt;=15,"Elevado",IF(I2&gt;=6,"Médio","Baixo")))</f>
        <v/>
      </c>
      <c r="K2" s="28" t="inlineStr">
        <is>
          <t>Mitigar</t>
        </is>
      </c>
      <c r="L2" s="28" t="inlineStr">
        <is>
          <t>TASK05.03 (DOC#50): padronizar msgram-core 1.5.4 no Service e na CLI (PRs Service#19 e CLI#4)</t>
        </is>
      </c>
      <c r="M2" s="28" t="inlineStr">
        <is>
          <t>Congelar a versão do Core usada na homologação e documentar a divergência na R1</t>
        </is>
      </c>
      <c r="N2" s="28" t="inlineStr">
        <is>
          <t>Nathan Benigno Ponce de Abreu</t>
        </is>
      </c>
      <c r="O2" s="28" t="inlineStr">
        <is>
          <t>Aberto</t>
        </is>
      </c>
      <c r="P2" s="30" t="n">
        <v>46292</v>
      </c>
    </row>
    <row r="3">
      <c r="A3" s="28" t="inlineStr">
        <is>
          <t>R02</t>
        </is>
      </c>
      <c r="B3" s="28" t="inlineStr">
        <is>
          <t>Técnico</t>
        </is>
      </c>
      <c r="C3" s="28" t="inlineStr">
        <is>
          <t>Endpoint público expõe e-mail de todos os usuários</t>
        </is>
      </c>
      <c r="D3" s="28" t="inlineStr">
        <is>
          <t>GET /users/ do Service sem autenticação (diagnóstico, gravidade Crítico)</t>
        </is>
      </c>
      <c r="E3" s="28" t="inlineStr">
        <is>
          <t>Vazamento de dado pessoal (LGPD) no ambiente publicado</t>
        </is>
      </c>
      <c r="F3" s="28" t="inlineStr">
        <is>
          <t>Endpoint respondendo sem token em homologação</t>
        </is>
      </c>
      <c r="G3" s="25" t="n">
        <v>4</v>
      </c>
      <c r="H3" s="25" t="n">
        <v>5</v>
      </c>
      <c r="I3" s="36">
        <f>IF(OR(G3="",H3=""),"",G3*H3)</f>
        <v/>
      </c>
      <c r="J3" s="36">
        <f>IF(I3="","",IF(I3&gt;=15,"Elevado",IF(I3&gt;=6,"Médio","Baixo")))</f>
        <v/>
      </c>
      <c r="K3" s="28" t="inlineStr">
        <is>
          <t>Mitigar</t>
        </is>
      </c>
      <c r="L3" s="28" t="inlineStr">
        <is>
          <t>BUG05.01 (DOC#52): corrigir falhas de segurança MSG-03, MSG-12 e MSG-13; Django já atualizado para 5.2 LTS (Service#3)</t>
        </is>
      </c>
      <c r="M3" s="28" t="inlineStr">
        <is>
          <t>Desativar a rota em homologação até a correção</t>
        </is>
      </c>
      <c r="N3" s="28" t="inlineStr">
        <is>
          <t>Marcos Antonio Teles de Castilhos</t>
        </is>
      </c>
      <c r="O3" s="28" t="inlineStr">
        <is>
          <t>Aberto</t>
        </is>
      </c>
      <c r="P3" s="30" t="n">
        <v>46292</v>
      </c>
    </row>
    <row r="4">
      <c r="A4" s="28" t="inlineStr">
        <is>
          <t>R03</t>
        </is>
      </c>
      <c r="B4" s="28" t="inlineStr">
        <is>
          <t>Técnico</t>
        </is>
      </c>
      <c r="C4" s="28" t="inlineStr">
        <is>
          <t>Nenhum portão de qualidade bloqueante nos repositórios</t>
        </is>
      </c>
      <c r="D4" s="28" t="inlineStr">
        <is>
          <t>CI não é exigida antes do merge e o Service não define fail_under de cobertura</t>
        </is>
      </c>
      <c r="E4" s="28" t="inlineStr">
        <is>
          <t>Regressões e queda de cobertura entram na develop sem aviso</t>
        </is>
      </c>
      <c r="F4" s="28" t="inlineStr">
        <is>
          <t>PR mergeado com CI falhando ou sem rodar</t>
        </is>
      </c>
      <c r="G4" s="25" t="n">
        <v>4</v>
      </c>
      <c r="H4" s="25" t="n">
        <v>3</v>
      </c>
      <c r="I4" s="36">
        <f>IF(OR(G4="",H4=""),"",G4*H4)</f>
        <v/>
      </c>
      <c r="J4" s="36">
        <f>IF(I4="","",IF(I4&gt;=15,"Elevado",IF(I4&gt;=6,"Médio","Baixo")))</f>
        <v/>
      </c>
      <c r="K4" s="28" t="inlineStr">
        <is>
          <t>Mitigar</t>
        </is>
      </c>
      <c r="L4" s="28" t="inlineStr">
        <is>
          <t>DOC#74: governança de branches, portões de CI e gestão de secrets nos repositórios centrais</t>
        </is>
      </c>
      <c r="M4" s="28" t="inlineStr">
        <is>
          <t>Revisão manual obrigatória da CI no template de PR</t>
        </is>
      </c>
      <c r="N4" s="28" t="inlineStr">
        <is>
          <t>Luciano Freitas</t>
        </is>
      </c>
      <c r="O4" s="28" t="inlineStr">
        <is>
          <t>Aberto</t>
        </is>
      </c>
      <c r="P4" s="30" t="n">
        <v>46292</v>
      </c>
    </row>
    <row r="5">
      <c r="A5" s="28" t="inlineStr">
        <is>
          <t>R04</t>
        </is>
      </c>
      <c r="B5" s="28" t="inlineStr">
        <is>
          <t>Organizacional</t>
        </is>
      </c>
      <c r="C5" s="28" t="inlineStr">
        <is>
          <t>Coordenação técnica entre squads que atravessam repositórios</t>
        </is>
      </c>
      <c r="D5" s="28" t="inlineStr">
        <is>
          <t>Fatias verticais tocam vários repositórios (ex.: dívida técnica em Action, Parser, CLI e Front)</t>
        </is>
      </c>
      <c r="E5" s="28" t="inlineStr">
        <is>
          <t>Tasks bloqueadas esperando outro repositório; retrabalho de integração</t>
        </is>
      </c>
      <c r="F5" s="28" t="inlineStr">
        <is>
          <t>Issue bloqueada por outra de outro repositório por mais de uma sprint</t>
        </is>
      </c>
      <c r="G5" s="25" t="n">
        <v>3</v>
      </c>
      <c r="H5" s="25" t="n">
        <v>3</v>
      </c>
      <c r="I5" s="36">
        <f>IF(OR(G5="",H5=""),"",G5*H5)</f>
        <v/>
      </c>
      <c r="J5" s="36">
        <f>IF(I5="","",IF(I5&gt;=15,"Elevado",IF(I5&gt;=6,"Médio","Baixo")))</f>
        <v/>
      </c>
      <c r="K5" s="28" t="inlineStr">
        <is>
          <t>Mitigar</t>
        </is>
      </c>
      <c r="L5" s="28" t="inlineStr">
        <is>
          <t>Modelo de squads por release (docs/planejamento/squads) e dependências registradas no Zenhub (blocking)</t>
        </is>
      </c>
      <c r="M5" s="28" t="inlineStr">
        <is>
          <t>Sessão de integração na planning de segunda</t>
        </is>
      </c>
      <c r="N5" s="28" t="inlineStr">
        <is>
          <t>Milena Fernandes Rocha</t>
        </is>
      </c>
      <c r="O5" s="28" t="inlineStr">
        <is>
          <t>Aberto</t>
        </is>
      </c>
      <c r="P5" s="30" t="n">
        <v>46292</v>
      </c>
    </row>
    <row r="6">
      <c r="A6" s="28" t="inlineStr">
        <is>
          <t>R05</t>
        </is>
      </c>
      <c r="B6" s="28" t="inlineStr">
        <is>
          <t>Gerencial</t>
        </is>
      </c>
      <c r="C6" s="28" t="inlineStr">
        <is>
          <t>Objetivo do semestre ainda não fechado com o PO</t>
        </is>
      </c>
      <c r="D6" s="28" t="inlineStr">
        <is>
          <t>Primeira reunião com o PO foi expositiva; Visão do Produto ainda em andamento (DOC#18)</t>
        </is>
      </c>
      <c r="E6" s="28" t="inlineStr">
        <is>
          <t>Backlog priorizado sem validação; risco de entregar o que o PO não espera</t>
        </is>
      </c>
      <c r="F6" s="28" t="inlineStr">
        <is>
          <t>US voltando de 'Aguardando validação do PO (DoR)'</t>
        </is>
      </c>
      <c r="G6" s="25" t="n">
        <v>3</v>
      </c>
      <c r="H6" s="25" t="n">
        <v>4</v>
      </c>
      <c r="I6" s="36">
        <f>IF(OR(G6="",H6=""),"",G6*H6)</f>
        <v/>
      </c>
      <c r="J6" s="36">
        <f>IF(I6="","",IF(I6&gt;=15,"Elevado",IF(I6&gt;=6,"Médio","Baixo")))</f>
        <v/>
      </c>
      <c r="K6" s="28" t="inlineStr">
        <is>
          <t>Mitigar</t>
        </is>
      </c>
      <c r="L6" s="28" t="inlineStr">
        <is>
          <t>Pauta preparada para a reunião semanal com o PO; validar Visão do Produto e Canvas MVP</t>
        </is>
      </c>
      <c r="M6" s="28" t="inlineStr">
        <is>
          <t>Escalar ao professor se não houver validação até a R2</t>
        </is>
      </c>
      <c r="N6" s="28" t="inlineStr">
        <is>
          <t>Guilherme Storch</t>
        </is>
      </c>
      <c r="O6" s="28" t="inlineStr">
        <is>
          <t>Aberto</t>
        </is>
      </c>
      <c r="P6" s="30" t="n">
        <v>46292</v>
      </c>
    </row>
    <row r="7">
      <c r="A7" s="28" t="inlineStr">
        <is>
          <t>R06</t>
        </is>
      </c>
      <c r="B7" s="28" t="inlineStr">
        <is>
          <t>Organizacional</t>
        </is>
      </c>
      <c r="C7" s="28" t="inlineStr">
        <is>
          <t>Desbalanceamento de contribuições num time de 20 pessoas</t>
        </is>
      </c>
      <c r="D7" s="28" t="inlineStr">
        <is>
          <t>Time grande com níveis de conhecimento diferentes (aba Habilidades); várias issues sem responsável</t>
        </is>
      </c>
      <c r="E7" s="28" t="inlineStr">
        <is>
          <t>Concentração de carga e avaliação individual prejudicada na R2 (contribuições equilibradas)</t>
        </is>
      </c>
      <c r="F7" s="28" t="inlineStr">
        <is>
          <t>Integrante sem horas ou sem issue atribuída na sprint</t>
        </is>
      </c>
      <c r="G7" s="25" t="n">
        <v>3</v>
      </c>
      <c r="H7" s="25" t="n">
        <v>3</v>
      </c>
      <c r="I7" s="36">
        <f>IF(OR(G7="",H7=""),"",G7*H7)</f>
        <v/>
      </c>
      <c r="J7" s="36">
        <f>IF(I7="","",IF(I7&gt;=15,"Elevado",IF(I7&gt;=6,"Médio","Baixo")))</f>
        <v/>
      </c>
      <c r="K7" s="28" t="inlineStr">
        <is>
          <t>Aceitar</t>
        </is>
      </c>
      <c r="L7" s="28" t="inlineStr">
        <is>
          <t>Acompanhar horas por integrante (aba Horas) e issues por pessoa no dashboard</t>
        </is>
      </c>
      <c r="M7" s="28" t="inlineStr">
        <is>
          <t>Redistribuir tasks na planning seguinte</t>
        </is>
      </c>
      <c r="N7" s="28" t="inlineStr">
        <is>
          <t>Milena Fernandes Rocha</t>
        </is>
      </c>
      <c r="O7" s="28" t="inlineStr">
        <is>
          <t>Em monitoramento</t>
        </is>
      </c>
      <c r="P7" s="30" t="n">
        <v>46292</v>
      </c>
    </row>
    <row r="8">
      <c r="A8" s="28" t="inlineStr">
        <is>
          <t>R07</t>
        </is>
      </c>
      <c r="B8" s="28" t="inlineStr">
        <is>
          <t>Técnico</t>
        </is>
      </c>
      <c r="C8" s="28" t="inlineStr">
        <is>
          <t>Métricas de repositórios publicadas em repos de semestres anteriores</t>
        </is>
      </c>
      <c r="D8" s="28" t="inlineStr">
        <is>
          <t>metrics.yml de alguns repositórios ainda publica no repositório central (MeasureSoftGram-Core aparece junto do 2026.2-Core)</t>
        </is>
      </c>
      <c r="E8" s="28" t="inlineStr">
        <is>
          <t>Dashboard com dado misturado ou faltando</t>
        </is>
      </c>
      <c r="F8" s="28" t="inlineStr">
        <is>
          <t>Arquivo de métricas com prefixo sem '2026.2-' em Analytics/data</t>
        </is>
      </c>
      <c r="G8" s="25" t="n">
        <v>4</v>
      </c>
      <c r="H8" s="25" t="n">
        <v>3</v>
      </c>
      <c r="I8" s="36">
        <f>IF(OR(G8="",H8=""),"",G8*H8)</f>
        <v/>
      </c>
      <c r="J8" s="36">
        <f>IF(I8="","",IF(I8&gt;=15,"Elevado",IF(I8&gt;=6,"Médio","Baixo")))</f>
        <v/>
      </c>
      <c r="K8" s="28" t="inlineStr">
        <is>
          <t>Mitigar</t>
        </is>
      </c>
      <c r="L8" s="28" t="inlineStr">
        <is>
          <t>DOC#14 (organização dos repositórios): apontar o metrics.yml de todos para o docs-eps de 2026.2</t>
        </is>
      </c>
      <c r="M8" s="28" t="inlineStr">
        <is>
          <t>Filtrar no dashboard só repositórios 2026.2</t>
        </is>
      </c>
      <c r="N8" s="28" t="inlineStr">
        <is>
          <t>Milena Fernandes Rocha</t>
        </is>
      </c>
      <c r="O8" s="28" t="inlineStr">
        <is>
          <t>Aberto</t>
        </is>
      </c>
      <c r="P8" s="30" t="n">
        <v>46292</v>
      </c>
    </row>
    <row r="9">
      <c r="A9" s="28" t="inlineStr">
        <is>
          <t>R08</t>
        </is>
      </c>
      <c r="B9" s="28" t="inlineStr">
        <is>
          <t>Técnico</t>
        </is>
      </c>
      <c r="C9" s="28" t="inlineStr">
        <is>
          <t>Cobertura abaixo da meta de 85% em Front (80,4%), Service (82,4%) e Action (82,7%)</t>
        </is>
      </c>
      <c r="D9" s="28" t="inlineStr">
        <is>
          <t>Suítes herdadas sem manutenção desde 2024 e sem portão de cobertura</t>
        </is>
      </c>
      <c r="E9" s="28" t="inlineStr">
        <is>
          <t>Critério da R1 (cobertura ≥ 85%) não atendido em 3 de 7 repositórios</t>
        </is>
      </c>
      <c r="F9" s="28" t="inlineStr">
        <is>
          <t>Cobertura abaixo de 85% na última coleta do SonarCloud</t>
        </is>
      </c>
      <c r="G9" s="25" t="n">
        <v>4</v>
      </c>
      <c r="H9" s="25" t="n">
        <v>3</v>
      </c>
      <c r="I9" s="36">
        <f>IF(OR(G9="",H9=""),"",G9*H9)</f>
        <v/>
      </c>
      <c r="J9" s="36">
        <f>IF(I9="","",IF(I9&gt;=15,"Elevado",IF(I9&gt;=6,"Médio","Baixo")))</f>
        <v/>
      </c>
      <c r="K9" s="28" t="inlineStr">
        <is>
          <t>Mitigar</t>
        </is>
      </c>
      <c r="L9" s="28" t="inlineStr">
        <is>
          <t>TASK03.02 (DOC#57): saneamento do backlog técnico; testes nos componentes com menor cobertura (painel do dashboard)</t>
        </is>
      </c>
      <c r="M9" s="28" t="inlineStr">
        <is>
          <t>Priorizar testes do Front e do Service na sprint 4</t>
        </is>
      </c>
      <c r="N9" s="28" t="inlineStr">
        <is>
          <t>Antônio José Magalhães Leão Júnior</t>
        </is>
      </c>
      <c r="O9" s="28" t="inlineStr">
        <is>
          <t>Aberto</t>
        </is>
      </c>
      <c r="P9" s="30" t="n">
        <v>46292</v>
      </c>
    </row>
    <row r="10">
      <c r="A10" s="28" t="inlineStr">
        <is>
          <t>R09</t>
        </is>
      </c>
      <c r="B10" s="28" t="inlineStr">
        <is>
          <t>Técnico</t>
        </is>
      </c>
      <c r="C10" s="28" t="inlineStr">
        <is>
          <t>Taxa de falha da CI em 35% (65 de 188 execuções), com Service em 45% e Action em 41%</t>
        </is>
      </c>
      <c r="D10" s="28" t="inlineStr">
        <is>
          <t>Workflows antigos (actions descontinuadas) e metrics.yml falhando no Front e no Service</t>
        </is>
      </c>
      <c r="E10" s="28" t="inlineStr">
        <is>
          <t>Time aprende a ignorar a CI; métricas deixam de ser coletadas</t>
        </is>
      </c>
      <c r="F10" s="28" t="inlineStr">
        <is>
          <t>Taxa de falha acima de 20% no dashboard</t>
        </is>
      </c>
      <c r="G10" s="25" t="n">
        <v>4</v>
      </c>
      <c r="H10" s="25" t="n">
        <v>3</v>
      </c>
      <c r="I10" s="36">
        <f>IF(OR(G10="",H10=""),"",G10*H10)</f>
        <v/>
      </c>
      <c r="J10" s="36">
        <f>IF(I10="","",IF(I10&gt;=15,"Elevado",IF(I10&gt;=6,"Médio","Baixo")))</f>
        <v/>
      </c>
      <c r="K10" s="28" t="inlineStr">
        <is>
          <t>Mitigar</t>
        </is>
      </c>
      <c r="L10" s="28" t="inlineStr">
        <is>
          <t>TASK03.01 (DOC#73) e DOC#74: atualizar workflows e corrigir o metrics.yml</t>
        </is>
      </c>
      <c r="M10" s="28" t="inlineStr">
        <is>
          <t>Rodar o metrics.yml manualmente (workflow_dispatch) antes de cada release</t>
        </is>
      </c>
      <c r="N10" s="28" t="inlineStr">
        <is>
          <t>Luciano Freitas</t>
        </is>
      </c>
      <c r="O10" s="28" t="inlineStr">
        <is>
          <t>Aberto</t>
        </is>
      </c>
      <c r="P10" s="30" t="n">
        <v>46292</v>
      </c>
    </row>
    <row r="11">
      <c r="A11" s="28" t="inlineStr">
        <is>
          <t>R10</t>
        </is>
      </c>
      <c r="B11" s="28" t="inlineStr">
        <is>
          <t>Gerencial</t>
        </is>
      </c>
      <c r="C11" s="28" t="inlineStr">
        <is>
          <t>Sequenciador da Lean Inception atrasado frente ao cronograma</t>
        </is>
      </c>
      <c r="D11" s="28" t="inlineStr">
        <is>
          <t>Sequenciador previsto para 24/08 não fechou</t>
        </is>
      </c>
      <c r="E11" s="28" t="inlineStr">
        <is>
          <t>R1 sem linha de base de escopo (PRP); fatias verticais não decompostas na EAP</t>
        </is>
      </c>
      <c r="F11" s="28" t="inlineStr">
        <is>
          <t>Planning da release sem US priorizadas</t>
        </is>
      </c>
      <c r="G11" s="25" t="n">
        <v>5</v>
      </c>
      <c r="H11" s="25" t="n">
        <v>4</v>
      </c>
      <c r="I11" s="36">
        <f>IF(OR(G11="",H11=""),"",G11*H11)</f>
        <v/>
      </c>
      <c r="J11" s="36">
        <f>IF(I11="","",IF(I11&gt;=15,"Elevado",IF(I11&gt;=6,"Médio","Baixo")))</f>
        <v/>
      </c>
      <c r="K11" s="28" t="inlineStr">
        <is>
          <t>Mitigar</t>
        </is>
      </c>
      <c r="L11" s="28" t="inlineStr">
        <is>
          <t>EAP com pacotes de planejamento; linha de base da R2 congelada na planning de 28/09</t>
        </is>
      </c>
      <c r="M11" s="28" t="inlineStr">
        <is>
          <t>Usar o PRP reconstituído do Zenhub na R1 e declarar no dashboard</t>
        </is>
      </c>
      <c r="N11" s="28" t="inlineStr">
        <is>
          <t>Guilherme Storch</t>
        </is>
      </c>
      <c r="O11" s="28" t="inlineStr">
        <is>
          <t>Materializado</t>
        </is>
      </c>
      <c r="P11" s="30" t="n">
        <v>46292</v>
      </c>
    </row>
    <row r="12">
      <c r="A12" s="28" t="inlineStr">
        <is>
          <t>R11</t>
        </is>
      </c>
      <c r="B12" s="28" t="inlineStr">
        <is>
          <t>Técnico</t>
        </is>
      </c>
      <c r="C12" s="28" t="inlineStr">
        <is>
          <t>AI e Plugin sem projeto válido no SonarCloud</t>
        </is>
      </c>
      <c r="D12" s="28" t="inlineStr">
        <is>
          <t>A coleta do metrics.yml grava erro de component key para AI e Plugin</t>
        </is>
      </c>
      <c r="E12" s="28" t="inlineStr">
        <is>
          <t>Qualidade de 2 dos 9 módulos fica invisível no dashboard e na avaliação</t>
        </is>
      </c>
      <c r="F12" s="28" t="inlineStr">
        <is>
          <t>Arquivo de coleta com 'Component key' em vez de métricas</t>
        </is>
      </c>
      <c r="G12" s="25" t="n">
        <v>5</v>
      </c>
      <c r="H12" s="25" t="n">
        <v>3</v>
      </c>
      <c r="I12" s="36">
        <f>IF(OR(G12="",H12=""),"",G12*H12)</f>
        <v/>
      </c>
      <c r="J12" s="36">
        <f>IF(I12="","",IF(I12&gt;=15,"Elevado",IF(I12&gt;=6,"Médio","Baixo")))</f>
        <v/>
      </c>
      <c r="K12" s="28" t="inlineStr">
        <is>
          <t>Mitigar</t>
        </is>
      </c>
      <c r="L12" s="28" t="inlineStr">
        <is>
          <t>Criar os projetos no SonarCloud da organização e corrigir a chave no metrics.yml</t>
        </is>
      </c>
      <c r="M12" s="28" t="inlineStr">
        <is>
          <t>Declarar no dashboard os módulos sem métrica</t>
        </is>
      </c>
      <c r="N12" s="28" t="inlineStr">
        <is>
          <t>Antônio José Magalhães Leão Júnior</t>
        </is>
      </c>
      <c r="O12" s="28" t="inlineStr">
        <is>
          <t>Aberto</t>
        </is>
      </c>
      <c r="P12" s="30" t="n">
        <v>46292</v>
      </c>
    </row>
    <row r="13">
      <c r="A13" s="28" t="inlineStr">
        <is>
          <t>R12</t>
        </is>
      </c>
      <c r="B13" s="28" t="inlineStr">
        <is>
          <t>Técnico</t>
        </is>
      </c>
      <c r="C13" s="28" t="inlineStr">
        <is>
          <t>Rating de segurança E no Plugin e C no Service (SonarCloud)</t>
        </is>
      </c>
      <c r="D13" s="28" t="inlineStr">
        <is>
          <t>Vulnerabilidades apontadas pelo SonarCloud na última coleta (security_rating 5 no Plugin, 3 no Service)</t>
        </is>
      </c>
      <c r="E13" s="28" t="inlineStr">
        <is>
          <t>Produto publicado com vulnerabilidade conhecida</t>
        </is>
      </c>
      <c r="F13" s="28" t="inlineStr">
        <is>
          <t>security_rating acima de 1 (A) em qualquer repositório</t>
        </is>
      </c>
      <c r="G13" s="25" t="n">
        <v>4</v>
      </c>
      <c r="H13" s="25" t="n">
        <v>4</v>
      </c>
      <c r="I13" s="36">
        <f>IF(OR(G13="",H13=""),"",G13*H13)</f>
        <v/>
      </c>
      <c r="J13" s="36">
        <f>IF(I13="","",IF(I13&gt;=15,"Elevado",IF(I13&gt;=6,"Médio","Baixo")))</f>
        <v/>
      </c>
      <c r="K13" s="28" t="inlineStr">
        <is>
          <t>Mitigar</t>
        </is>
      </c>
      <c r="L13" s="28" t="inlineStr">
        <is>
          <t>Revisar os security hotspots do Plugin e do Service e corrigir as vulnerabilidades</t>
        </is>
      </c>
      <c r="M13" s="28" t="inlineStr">
        <is>
          <t>Não publicar nova versão do Plugin até o rating voltar para A</t>
        </is>
      </c>
      <c r="N13" s="28" t="inlineStr">
        <is>
          <t>Nathan Benigno Ponce de Abreu</t>
        </is>
      </c>
      <c r="O13" s="28" t="inlineStr">
        <is>
          <t>Aberto</t>
        </is>
      </c>
      <c r="P13" s="30" t="n">
        <v>46292</v>
      </c>
    </row>
    <row r="14">
      <c r="A14" s="28" t="inlineStr">
        <is>
          <t>R13</t>
        </is>
      </c>
      <c r="B14" s="28" t="inlineStr">
        <is>
          <t>Gerencial</t>
        </is>
      </c>
      <c r="C14" s="28" t="inlineStr">
        <is>
          <t>Quadro do Zenhub desatualizado invalida velocity e EVM</t>
        </is>
      </c>
      <c r="D14" s="28" t="inlineStr">
        <is>
          <t>Snapshot de 27/09: 0 pontos em Done na R1, 24 issues fechadas fora do pipeline Done, 20 US/Tasks sem estimativa</t>
        </is>
      </c>
      <c r="E14" s="28" t="inlineStr">
        <is>
          <t>Velocity, burndown e SPI da R1 em zero; indicadores não servem para decidir</t>
        </is>
      </c>
      <c r="F14" s="28" t="inlineStr">
        <is>
          <t>Painel 'Confiabilidade do dado do Zenhub' com pendências</t>
        </is>
      </c>
      <c r="G14" s="25" t="n">
        <v>5</v>
      </c>
      <c r="H14" s="25" t="n">
        <v>3</v>
      </c>
      <c r="I14" s="36">
        <f>IF(OR(G14="",H14=""),"",G14*H14)</f>
        <v/>
      </c>
      <c r="J14" s="36">
        <f>IF(I14="","",IF(I14&gt;=15,"Elevado",IF(I14&gt;=6,"Médio","Baixo")))</f>
        <v/>
      </c>
      <c r="K14" s="28" t="inlineStr">
        <is>
          <t>Mitigar</t>
        </is>
      </c>
      <c r="L14" s="28" t="inlineStr">
        <is>
          <t>Mover para Done o que cumpriu o DoD e estimar US/Tasks na planning (decisão D2)</t>
        </is>
      </c>
      <c r="M14" s="28" t="inlineStr">
        <is>
          <t>Planning de 28/09 dedicada a sanear o quadro antes de abrir a R2</t>
        </is>
      </c>
      <c r="N14" s="28" t="inlineStr">
        <is>
          <t>Milena Fernandes Rocha</t>
        </is>
      </c>
      <c r="O14" s="28" t="inlineStr">
        <is>
          <t>Materializado</t>
        </is>
      </c>
      <c r="P14" s="30" t="n">
        <v>46292</v>
      </c>
    </row>
    <row r="15">
      <c r="A15" s="28" t="inlineStr">
        <is>
          <t>R14</t>
        </is>
      </c>
      <c r="B15" s="28" t="inlineStr">
        <is>
          <t>Gerencial</t>
        </is>
      </c>
      <c r="C15" s="28" t="inlineStr">
        <is>
          <t>Horas reais não registradas pela equipe</t>
        </is>
      </c>
      <c r="D15" s="28" t="inlineStr">
        <is>
          <t>Registro de horas criado só em 27/09; sprints 1 a 3 sem dado</t>
        </is>
      </c>
      <c r="E15" s="28" t="inlineStr">
        <is>
          <t>Sem custo real (AC) não há CPI nem EAC; exigência da disciplina não atendida</t>
        </is>
      </c>
      <c r="F15" s="28" t="inlineStr">
        <is>
          <t>Integrantes sem horas na aba Horas após a planning</t>
        </is>
      </c>
      <c r="G15" s="25" t="n">
        <v>4</v>
      </c>
      <c r="H15" s="25" t="n">
        <v>3</v>
      </c>
      <c r="I15" s="36">
        <f>IF(OR(G15="",H15=""),"",G15*H15)</f>
        <v/>
      </c>
      <c r="J15" s="36">
        <f>IF(I15="","",IF(I15&gt;=15,"Elevado",IF(I15&gt;=6,"Médio","Baixo")))</f>
        <v/>
      </c>
      <c r="K15" s="28" t="inlineStr">
        <is>
          <t>Mitigar</t>
        </is>
      </c>
      <c r="L15" s="28" t="inlineStr">
        <is>
          <t>Lançar horas toda segunda na planning (decisão D3)</t>
        </is>
      </c>
      <c r="M15" s="28" t="inlineStr">
        <is>
          <t>Declarar o período sem dado no dashboard; não estimar retroativamente</t>
        </is>
      </c>
      <c r="N15" s="28" t="inlineStr">
        <is>
          <t>Daniel Ferreira Santos Rabelo</t>
        </is>
      </c>
      <c r="O15" s="28" t="inlineStr">
        <is>
          <t>Aberto</t>
        </is>
      </c>
      <c r="P15" s="30" t="n">
        <v>46292</v>
      </c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36">
        <f>IF(OR(G16="",H16=""),"",G16*H16)</f>
        <v/>
      </c>
      <c r="J16" s="36">
        <f>IF(I16="","",IF(I16&gt;=15,"Elevado",IF(I16&gt;=6,"Médio","Baixo")))</f>
        <v/>
      </c>
      <c r="K16" s="4" t="n"/>
      <c r="L16" s="4" t="n"/>
      <c r="M16" s="4" t="n"/>
      <c r="N16" s="4" t="n"/>
      <c r="O16" s="4" t="n"/>
      <c r="P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36">
        <f>IF(OR(G17="",H17=""),"",G17*H17)</f>
        <v/>
      </c>
      <c r="J17" s="36">
        <f>IF(I17="","",IF(I17&gt;=15,"Elevado",IF(I17&gt;=6,"Médio","Baixo")))</f>
        <v/>
      </c>
      <c r="K17" s="4" t="n"/>
      <c r="L17" s="4" t="n"/>
      <c r="M17" s="4" t="n"/>
      <c r="N17" s="4" t="n"/>
      <c r="O17" s="4" t="n"/>
      <c r="P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36">
        <f>IF(OR(G18="",H18=""),"",G18*H18)</f>
        <v/>
      </c>
      <c r="J18" s="36">
        <f>IF(I18="","",IF(I18&gt;=15,"Elevado",IF(I18&gt;=6,"Médio","Baixo")))</f>
        <v/>
      </c>
      <c r="K18" s="4" t="n"/>
      <c r="L18" s="4" t="n"/>
      <c r="M18" s="4" t="n"/>
      <c r="N18" s="4" t="n"/>
      <c r="O18" s="4" t="n"/>
      <c r="P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36">
        <f>IF(OR(G19="",H19=""),"",G19*H19)</f>
        <v/>
      </c>
      <c r="J19" s="36">
        <f>IF(I19="","",IF(I19&gt;=15,"Elevado",IF(I19&gt;=6,"Médio","Baixo")))</f>
        <v/>
      </c>
      <c r="K19" s="4" t="n"/>
      <c r="L19" s="4" t="n"/>
      <c r="M19" s="4" t="n"/>
      <c r="N19" s="4" t="n"/>
      <c r="O19" s="4" t="n"/>
      <c r="P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36">
        <f>IF(OR(G20="",H20=""),"",G20*H20)</f>
        <v/>
      </c>
      <c r="J20" s="36">
        <f>IF(I20="","",IF(I20&gt;=15,"Elevado",IF(I20&gt;=6,"Médio","Baixo")))</f>
        <v/>
      </c>
      <c r="K20" s="4" t="n"/>
      <c r="L20" s="4" t="n"/>
      <c r="M20" s="4" t="n"/>
      <c r="N20" s="4" t="n"/>
      <c r="O20" s="4" t="n"/>
      <c r="P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36">
        <f>IF(OR(G21="",H21=""),"",G21*H21)</f>
        <v/>
      </c>
      <c r="J21" s="36">
        <f>IF(I21="","",IF(I21&gt;=15,"Elevado",IF(I21&gt;=6,"Médio","Baixo")))</f>
        <v/>
      </c>
      <c r="K21" s="4" t="n"/>
      <c r="L21" s="4" t="n"/>
      <c r="M21" s="4" t="n"/>
      <c r="N21" s="4" t="n"/>
      <c r="O21" s="4" t="n"/>
      <c r="P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36">
        <f>IF(OR(G22="",H22=""),"",G22*H22)</f>
        <v/>
      </c>
      <c r="J22" s="36">
        <f>IF(I22="","",IF(I22&gt;=15,"Elevado",IF(I22&gt;=6,"Médio","Baixo")))</f>
        <v/>
      </c>
      <c r="K22" s="4" t="n"/>
      <c r="L22" s="4" t="n"/>
      <c r="M22" s="4" t="n"/>
      <c r="N22" s="4" t="n"/>
      <c r="O22" s="4" t="n"/>
      <c r="P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36">
        <f>IF(OR(G23="",H23=""),"",G23*H23)</f>
        <v/>
      </c>
      <c r="J23" s="36">
        <f>IF(I23="","",IF(I23&gt;=15,"Elevado",IF(I23&gt;=6,"Médio","Baixo")))</f>
        <v/>
      </c>
      <c r="K23" s="4" t="n"/>
      <c r="L23" s="4" t="n"/>
      <c r="M23" s="4" t="n"/>
      <c r="N23" s="4" t="n"/>
      <c r="O23" s="4" t="n"/>
      <c r="P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36">
        <f>IF(OR(G24="",H24=""),"",G24*H24)</f>
        <v/>
      </c>
      <c r="J24" s="36">
        <f>IF(I24="","",IF(I24&gt;=15,"Elevado",IF(I24&gt;=6,"Médio","Baixo")))</f>
        <v/>
      </c>
      <c r="K24" s="4" t="n"/>
      <c r="L24" s="4" t="n"/>
      <c r="M24" s="4" t="n"/>
      <c r="N24" s="4" t="n"/>
      <c r="O24" s="4" t="n"/>
      <c r="P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36">
        <f>IF(OR(G25="",H25=""),"",G25*H25)</f>
        <v/>
      </c>
      <c r="J25" s="36">
        <f>IF(I25="","",IF(I25&gt;=15,"Elevado",IF(I25&gt;=6,"Médio","Baixo")))</f>
        <v/>
      </c>
      <c r="K25" s="4" t="n"/>
      <c r="L25" s="4" t="n"/>
      <c r="M25" s="4" t="n"/>
      <c r="N25" s="4" t="n"/>
      <c r="O25" s="4" t="n"/>
      <c r="P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36">
        <f>IF(OR(G26="",H26=""),"",G26*H26)</f>
        <v/>
      </c>
      <c r="J26" s="36">
        <f>IF(I26="","",IF(I26&gt;=15,"Elevado",IF(I26&gt;=6,"Médio","Baixo")))</f>
        <v/>
      </c>
      <c r="K26" s="4" t="n"/>
      <c r="L26" s="4" t="n"/>
      <c r="M26" s="4" t="n"/>
      <c r="N26" s="4" t="n"/>
      <c r="O26" s="4" t="n"/>
      <c r="P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36">
        <f>IF(OR(G27="",H27=""),"",G27*H27)</f>
        <v/>
      </c>
      <c r="J27" s="36">
        <f>IF(I27="","",IF(I27&gt;=15,"Elevado",IF(I27&gt;=6,"Médio","Baixo")))</f>
        <v/>
      </c>
      <c r="K27" s="4" t="n"/>
      <c r="L27" s="4" t="n"/>
      <c r="M27" s="4" t="n"/>
      <c r="N27" s="4" t="n"/>
      <c r="O27" s="4" t="n"/>
      <c r="P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36">
        <f>IF(OR(G28="",H28=""),"",G28*H28)</f>
        <v/>
      </c>
      <c r="J28" s="36">
        <f>IF(I28="","",IF(I28&gt;=15,"Elevado",IF(I28&gt;=6,"Médio","Baixo")))</f>
        <v/>
      </c>
      <c r="K28" s="4" t="n"/>
      <c r="L28" s="4" t="n"/>
      <c r="M28" s="4" t="n"/>
      <c r="N28" s="4" t="n"/>
      <c r="O28" s="4" t="n"/>
      <c r="P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36">
        <f>IF(OR(G29="",H29=""),"",G29*H29)</f>
        <v/>
      </c>
      <c r="J29" s="36">
        <f>IF(I29="","",IF(I29&gt;=15,"Elevado",IF(I29&gt;=6,"Médio","Baixo")))</f>
        <v/>
      </c>
      <c r="K29" s="4" t="n"/>
      <c r="L29" s="4" t="n"/>
      <c r="M29" s="4" t="n"/>
      <c r="N29" s="4" t="n"/>
      <c r="O29" s="4" t="n"/>
      <c r="P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36">
        <f>IF(OR(G30="",H30=""),"",G30*H30)</f>
        <v/>
      </c>
      <c r="J30" s="36">
        <f>IF(I30="","",IF(I30&gt;=15,"Elevado",IF(I30&gt;=6,"Médio","Baixo")))</f>
        <v/>
      </c>
      <c r="K30" s="4" t="n"/>
      <c r="L30" s="4" t="n"/>
      <c r="M30" s="4" t="n"/>
      <c r="N30" s="4" t="n"/>
      <c r="O30" s="4" t="n"/>
      <c r="P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36">
        <f>IF(OR(G31="",H31=""),"",G31*H31)</f>
        <v/>
      </c>
      <c r="J31" s="36">
        <f>IF(I31="","",IF(I31&gt;=15,"Elevado",IF(I31&gt;=6,"Médio","Baixo")))</f>
        <v/>
      </c>
      <c r="K31" s="4" t="n"/>
      <c r="L31" s="4" t="n"/>
      <c r="M31" s="4" t="n"/>
      <c r="N31" s="4" t="n"/>
      <c r="O31" s="4" t="n"/>
      <c r="P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36">
        <f>IF(OR(G32="",H32=""),"",G32*H32)</f>
        <v/>
      </c>
      <c r="J32" s="36">
        <f>IF(I32="","",IF(I32&gt;=15,"Elevado",IF(I32&gt;=6,"Médio","Baixo")))</f>
        <v/>
      </c>
      <c r="K32" s="4" t="n"/>
      <c r="L32" s="4" t="n"/>
      <c r="M32" s="4" t="n"/>
      <c r="N32" s="4" t="n"/>
      <c r="O32" s="4" t="n"/>
      <c r="P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36">
        <f>IF(OR(G33="",H33=""),"",G33*H33)</f>
        <v/>
      </c>
      <c r="J33" s="36">
        <f>IF(I33="","",IF(I33&gt;=15,"Elevado",IF(I33&gt;=6,"Médio","Baixo")))</f>
        <v/>
      </c>
      <c r="K33" s="4" t="n"/>
      <c r="L33" s="4" t="n"/>
      <c r="M33" s="4" t="n"/>
      <c r="N33" s="4" t="n"/>
      <c r="O33" s="4" t="n"/>
      <c r="P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36">
        <f>IF(OR(G34="",H34=""),"",G34*H34)</f>
        <v/>
      </c>
      <c r="J34" s="36">
        <f>IF(I34="","",IF(I34&gt;=15,"Elevado",IF(I34&gt;=6,"Médio","Baixo")))</f>
        <v/>
      </c>
      <c r="K34" s="4" t="n"/>
      <c r="L34" s="4" t="n"/>
      <c r="M34" s="4" t="n"/>
      <c r="N34" s="4" t="n"/>
      <c r="O34" s="4" t="n"/>
      <c r="P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36">
        <f>IF(OR(G35="",H35=""),"",G35*H35)</f>
        <v/>
      </c>
      <c r="J35" s="36">
        <f>IF(I35="","",IF(I35&gt;=15,"Elevado",IF(I35&gt;=6,"Médio","Baixo")))</f>
        <v/>
      </c>
      <c r="K35" s="4" t="n"/>
      <c r="L35" s="4" t="n"/>
      <c r="M35" s="4" t="n"/>
      <c r="N35" s="4" t="n"/>
      <c r="O35" s="4" t="n"/>
      <c r="P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36">
        <f>IF(OR(G36="",H36=""),"",G36*H36)</f>
        <v/>
      </c>
      <c r="J36" s="36">
        <f>IF(I36="","",IF(I36&gt;=15,"Elevado",IF(I36&gt;=6,"Médio","Baixo")))</f>
        <v/>
      </c>
      <c r="K36" s="4" t="n"/>
      <c r="L36" s="4" t="n"/>
      <c r="M36" s="4" t="n"/>
      <c r="N36" s="4" t="n"/>
      <c r="O36" s="4" t="n"/>
      <c r="P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36">
        <f>IF(OR(G37="",H37=""),"",G37*H37)</f>
        <v/>
      </c>
      <c r="J37" s="36">
        <f>IF(I37="","",IF(I37&gt;=15,"Elevado",IF(I37&gt;=6,"Médio","Baixo")))</f>
        <v/>
      </c>
      <c r="K37" s="4" t="n"/>
      <c r="L37" s="4" t="n"/>
      <c r="M37" s="4" t="n"/>
      <c r="N37" s="4" t="n"/>
      <c r="O37" s="4" t="n"/>
      <c r="P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36">
        <f>IF(OR(G38="",H38=""),"",G38*H38)</f>
        <v/>
      </c>
      <c r="J38" s="36">
        <f>IF(I38="","",IF(I38&gt;=15,"Elevado",IF(I38&gt;=6,"Médio","Baixo")))</f>
        <v/>
      </c>
      <c r="K38" s="4" t="n"/>
      <c r="L38" s="4" t="n"/>
      <c r="M38" s="4" t="n"/>
      <c r="N38" s="4" t="n"/>
      <c r="O38" s="4" t="n"/>
      <c r="P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36">
        <f>IF(OR(G39="",H39=""),"",G39*H39)</f>
        <v/>
      </c>
      <c r="J39" s="36">
        <f>IF(I39="","",IF(I39&gt;=15,"Elevado",IF(I39&gt;=6,"Médio","Baixo")))</f>
        <v/>
      </c>
      <c r="K39" s="4" t="n"/>
      <c r="L39" s="4" t="n"/>
      <c r="M39" s="4" t="n"/>
      <c r="N39" s="4" t="n"/>
      <c r="O39" s="4" t="n"/>
      <c r="P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36">
        <f>IF(OR(G40="",H40=""),"",G40*H40)</f>
        <v/>
      </c>
      <c r="J40" s="36">
        <f>IF(I40="","",IF(I40&gt;=15,"Elevado",IF(I40&gt;=6,"Médio","Baixo")))</f>
        <v/>
      </c>
      <c r="K40" s="4" t="n"/>
      <c r="L40" s="4" t="n"/>
      <c r="M40" s="4" t="n"/>
      <c r="N40" s="4" t="n"/>
      <c r="O40" s="4" t="n"/>
      <c r="P40" s="4" t="n"/>
    </row>
  </sheetData>
  <conditionalFormatting sqref="A2:P150">
    <cfRule type="expression" priority="1" dxfId="0">
      <formula>MOD(ROW(),2)=0</formula>
    </cfRule>
  </conditionalFormatting>
  <conditionalFormatting sqref="I2:I150">
    <cfRule type="expression" priority="2" dxfId="1" stopIfTrue="1">
      <formula>AND($I2&lt;&gt;"",$I2&gt;=15)</formula>
    </cfRule>
    <cfRule type="expression" priority="3" dxfId="2" stopIfTrue="1">
      <formula>AND($I2&lt;&gt;"",$I2&gt;=6)</formula>
    </cfRule>
    <cfRule type="expression" priority="4" dxfId="3" stopIfTrue="1">
      <formula>AND($I2&lt;&gt;"",$I2&gt;=1)</formula>
    </cfRule>
  </conditionalFormatting>
  <conditionalFormatting sqref="J2:J150">
    <cfRule type="expression" priority="5" dxfId="1" stopIfTrue="1">
      <formula>AND($I2&lt;&gt;"",$I2&gt;=15)</formula>
    </cfRule>
    <cfRule type="expression" priority="6" dxfId="2" stopIfTrue="1">
      <formula>AND($I2&lt;&gt;"",$I2&gt;=6)</formula>
    </cfRule>
    <cfRule type="expression" priority="7" dxfId="3" stopIfTrue="1">
      <formula>AND($I2&lt;&gt;"",$I2&gt;=1)</formula>
    </cfRule>
  </conditionalFormatting>
  <dataValidations count="5">
    <dataValidation sqref="B2:B150" showDropDown="0" showInputMessage="0" showErrorMessage="1" allowBlank="1" error="Escolha um valor da lista." type="list">
      <formula1>=Listas!$F$2:$F$5</formula1>
    </dataValidation>
    <dataValidation sqref="G2:H150" showDropDown="0" showInputMessage="1" showErrorMessage="1" allowBlank="1" error="Escolha um valor da lista." prompt="1 a 5. Ver escala na aba Listas." type="list">
      <formula1>=Listas!$A$2:$A$6</formula1>
    </dataValidation>
    <dataValidation sqref="K2:K150" showDropDown="0" showInputMessage="0" showErrorMessage="1" allowBlank="1" error="Escolha um valor da lista." type="list">
      <formula1>=Listas!$D$2:$D$6</formula1>
    </dataValidation>
    <dataValidation sqref="N2:N150" showDropDown="0" showInputMessage="1" showErrorMessage="1" allowBlank="1" error="Escolha um valor da lista." prompt="Responsável pelo risco." type="list">
      <formula1>=Integrantes!$A$2:$A$100</formula1>
    </dataValidation>
    <dataValidation sqref="O2:O150" showDropDown="0" showInputMessage="0" showErrorMessage="1" allowBlank="1" error="Escolha um valor da lista." type="list">
      <formula1>=Listas!$E$2:$E$5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3A5F"/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22" customWidth="1" min="4" max="4"/>
    <col width="46" customWidth="1" min="5" max="5"/>
    <col width="46" customWidth="1" min="6" max="6"/>
    <col width="30" customWidth="1" min="7" max="7"/>
    <col width="30" customWidth="1" min="8" max="8"/>
    <col width="36" customWidth="1" min="9" max="9"/>
    <col width="14" customWidth="1" min="10" max="10"/>
  </cols>
  <sheetData>
    <row r="1" ht="30" customHeight="1">
      <c r="A1" s="22" t="inlineStr">
        <is>
          <t>data</t>
        </is>
      </c>
      <c r="B1" s="22" t="inlineStr">
        <is>
          <t>sprint</t>
        </is>
      </c>
      <c r="C1" s="22" t="inlineStr">
        <is>
          <t>tipo</t>
        </is>
      </c>
      <c r="D1" s="22" t="inlineStr">
        <is>
          <t>metrica</t>
        </is>
      </c>
      <c r="E1" s="22" t="inlineStr">
        <is>
          <t>causa</t>
        </is>
      </c>
      <c r="F1" s="22" t="inlineStr">
        <is>
          <t>decisao</t>
        </is>
      </c>
      <c r="G1" s="22" t="inlineStr">
        <is>
          <t>evidencia</t>
        </is>
      </c>
      <c r="H1" s="22" t="inlineStr">
        <is>
          <t>criterio_sucesso</t>
        </is>
      </c>
      <c r="I1" s="22" t="inlineStr">
        <is>
          <t>resultado</t>
        </is>
      </c>
      <c r="J1" s="22" t="inlineStr">
        <is>
          <t>status</t>
        </is>
      </c>
    </row>
    <row r="2">
      <c r="A2" s="30" t="n">
        <v>46292</v>
      </c>
      <c r="B2" s="28" t="n">
        <v>3</v>
      </c>
      <c r="C2" s="28" t="inlineStr">
        <is>
          <t>Gerencial</t>
        </is>
      </c>
      <c r="D2" s="28" t="inlineStr">
        <is>
          <t>Calendário de sprints</t>
        </is>
      </c>
      <c r="E2" s="28" t="inlineStr">
        <is>
          <t>Três calendários em uso (planilha antiga quinzenal com R1 até 04/10, Zenhub e página de Planejamento). Só o do Zenhub fecha nas datas das releases.</t>
        </is>
      </c>
      <c r="F2" s="28" t="inlineStr">
        <is>
          <t>Adotar o calendário do Zenhub como linha de base: R1 com 3 sprints, R2 com 4 e R3 com 5.</t>
        </is>
      </c>
      <c r="G2" s="28" t="inlineStr">
        <is>
          <t>Aba Sprints; Analytics/planilhas/sprints.csv; docs/planejamento/decisoes.mdx (D1)</t>
        </is>
      </c>
      <c r="H2" s="28" t="inlineStr">
        <is>
          <t>Todas as sprints até 29/11 criadas no Zenhub com as mesmas datas da planilha</t>
        </is>
      </c>
      <c r="I2" s="28" t="n"/>
      <c r="J2" s="28" t="inlineStr">
        <is>
          <t>Vigente</t>
        </is>
      </c>
    </row>
    <row r="3">
      <c r="A3" s="30" t="n">
        <v>46292</v>
      </c>
      <c r="B3" s="28" t="n">
        <v>3</v>
      </c>
      <c r="C3" s="28" t="inlineStr">
        <is>
          <t>Gerencial</t>
        </is>
      </c>
      <c r="D3" s="28" t="inlineStr">
        <is>
          <t>Velocity / pontos em Done</t>
        </is>
      </c>
      <c r="E3" s="28" t="inlineStr">
        <is>
          <t>Snapshot do Zenhub de 27/09: 0 pontos em Done na R1, issues fechadas fora do pipeline Done e US/Tasks sem estimativa; pontos em Sub-tasks.</t>
        </is>
      </c>
      <c r="F3" s="28" t="inlineStr">
        <is>
          <t>Feito = pipeline Done. Story points só em US e Task (US decomposta não pontua; Épicos e Sub-tasks não pontuam).</t>
        </is>
      </c>
      <c r="G3" s="28" t="inlineStr">
        <is>
          <t>Aba Parametros (criterio_feito, niveis_pontuados); Analytics/src/gestao.py; docs/planejamento/decisoes.mdx (D2)</t>
        </is>
      </c>
      <c r="H3" s="28" t="inlineStr">
        <is>
          <t>Zero pendências no painel de confiabilidade do Zenhub na planning de 28/09</t>
        </is>
      </c>
      <c r="I3" s="28" t="n"/>
      <c r="J3" s="28" t="inlineStr">
        <is>
          <t>Vigente</t>
        </is>
      </c>
    </row>
    <row r="4">
      <c r="A4" s="30" t="n">
        <v>46292</v>
      </c>
      <c r="B4" s="28" t="n">
        <v>3</v>
      </c>
      <c r="C4" s="28" t="inlineStr">
        <is>
          <t>Gerencial</t>
        </is>
      </c>
      <c r="D4" s="28" t="inlineStr">
        <is>
          <t>Custo (BAC e AC)</t>
        </is>
      </c>
      <c r="E4" s="28" t="inlineStr">
        <is>
          <t>EVM sem orçamento nem custo real: não havia custo/hora definido nem registro de horas; a disciplina exige horas reais.</t>
        </is>
      </c>
      <c r="F4" s="28" t="inlineStr">
        <is>
          <t>Usar o modelo de custo do aluno de 2026.1 atualizado (R$ 23,53/h) e registrar horas de cada integrante toda segunda a partir de 28/09.</t>
        </is>
      </c>
      <c r="G4" s="28" t="inlineStr">
        <is>
          <t>Abas Custos, Parametros e Horas; docs/planejamento/custos.mdx; docs/planejamento/decisoes.mdx (D3)</t>
        </is>
      </c>
      <c r="H4" s="28" t="inlineStr">
        <is>
          <t>20 de 20 integrantes com horas na sprint 4 e CPI calculado no dashboard</t>
        </is>
      </c>
      <c r="I4" s="28" t="n"/>
      <c r="J4" s="28" t="inlineStr">
        <is>
          <t>Planejada</t>
        </is>
      </c>
    </row>
    <row r="5">
      <c r="A5" s="3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3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3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3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3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3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3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3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3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3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3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3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3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3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>
      <c r="A19" s="3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3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>
      <c r="A21" s="3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3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>
      <c r="A23" s="3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3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</row>
    <row r="25">
      <c r="A25" s="3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>
      <c r="A26" s="3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</row>
    <row r="27">
      <c r="A27" s="3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>
      <c r="A28" s="3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</row>
    <row r="29">
      <c r="A29" s="3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>
      <c r="A30" s="3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</row>
    <row r="31">
      <c r="A31" s="3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>
      <c r="A32" s="3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</row>
    <row r="33">
      <c r="A33" s="3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>
      <c r="A34" s="3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</row>
    <row r="35">
      <c r="A35" s="3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>
      <c r="A36" s="3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</row>
    <row r="37">
      <c r="A37" s="3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>
      <c r="A38" s="3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</row>
    <row r="39">
      <c r="A39" s="3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>
      <c r="A40" s="3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</row>
  </sheetData>
  <conditionalFormatting sqref="A2:J150">
    <cfRule type="expression" priority="1" dxfId="0">
      <formula>MOD(ROW(),2)=0</formula>
    </cfRule>
  </conditionalFormatting>
  <dataValidations count="2">
    <dataValidation sqref="C2:C200" showDropDown="0" showInputMessage="0" showErrorMessage="1" allowBlank="1" error="Escolha um valor da lista." type="list">
      <formula1>=Listas!$G$2:$G$3</formula1>
    </dataValidation>
    <dataValidation sqref="B2:B200" showDropDown="0" showInputMessage="0" showErrorMessage="1" allowBlank="1" error="Escolha um valor da lista." type="list">
      <formula1>=Sprints!$A$2:$A$100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A8BA0"/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8" customWidth="1" min="3" max="3"/>
  </cols>
  <sheetData>
    <row r="1" ht="30" customHeight="1">
      <c r="A1" s="22" t="inlineStr">
        <is>
          <t>nome</t>
        </is>
      </c>
      <c r="B1" s="22" t="inlineStr">
        <is>
          <t>github</t>
        </is>
      </c>
      <c r="C1" s="29" t="inlineStr">
        <is>
          <t>horas_registradas</t>
        </is>
      </c>
    </row>
    <row r="2">
      <c r="A2" s="28" t="inlineStr">
        <is>
          <t>Alexandre de Sanana Beck</t>
        </is>
      </c>
      <c r="B2" s="28" t="inlineStr">
        <is>
          <t>zzzBECK</t>
        </is>
      </c>
      <c r="C2" s="26">
        <f>SUMIF(Horas!$B:$B,$A2,Horas!$C:$C)</f>
        <v/>
      </c>
    </row>
    <row r="3">
      <c r="A3" s="28" t="inlineStr">
        <is>
          <t>Antônio José Magalhães Leão Júnior</t>
        </is>
      </c>
      <c r="B3" s="28" t="inlineStr">
        <is>
          <t>antonioleaojr</t>
        </is>
      </c>
      <c r="C3" s="26">
        <f>SUMIF(Horas!$B:$B,$A3,Horas!$C:$C)</f>
        <v/>
      </c>
    </row>
    <row r="4">
      <c r="A4" s="28" t="inlineStr">
        <is>
          <t>Daniel Ferreira Santos Rabelo</t>
        </is>
      </c>
      <c r="B4" s="28" t="inlineStr">
        <is>
          <t>DanielFsR</t>
        </is>
      </c>
      <c r="C4" s="26">
        <f>SUMIF(Horas!$B:$B,$A4,Horas!$C:$C)</f>
        <v/>
      </c>
    </row>
    <row r="5">
      <c r="A5" s="28" t="inlineStr">
        <is>
          <t>Diego Carlito Rodrigues de Souza</t>
        </is>
      </c>
      <c r="B5" s="28" t="inlineStr">
        <is>
          <t>DiegoCarlito</t>
        </is>
      </c>
      <c r="C5" s="26">
        <f>SUMIF(Horas!$B:$B,$A5,Horas!$C:$C)</f>
        <v/>
      </c>
    </row>
    <row r="6">
      <c r="A6" s="28" t="inlineStr">
        <is>
          <t>Diogo Rodrigues Barboza</t>
        </is>
      </c>
      <c r="B6" s="28" t="inlineStr">
        <is>
          <t>Diogo-Barboza</t>
        </is>
      </c>
      <c r="C6" s="26">
        <f>SUMIF(Horas!$B:$B,$A6,Horas!$C:$C)</f>
        <v/>
      </c>
    </row>
    <row r="7">
      <c r="A7" s="28" t="inlineStr">
        <is>
          <t>Gabriel Marques de Souza</t>
        </is>
      </c>
      <c r="B7" s="28" t="inlineStr">
        <is>
          <t>GabrielMS00</t>
        </is>
      </c>
      <c r="C7" s="26">
        <f>SUMIF(Horas!$B:$B,$A7,Horas!$C:$C)</f>
        <v/>
      </c>
    </row>
    <row r="8">
      <c r="A8" s="28" t="inlineStr">
        <is>
          <t>Gabriel Moura</t>
        </is>
      </c>
      <c r="B8" s="28" t="inlineStr">
        <is>
          <t>thegm445</t>
        </is>
      </c>
      <c r="C8" s="26">
        <f>SUMIF(Horas!$B:$B,$A8,Horas!$C:$C)</f>
        <v/>
      </c>
    </row>
    <row r="9">
      <c r="A9" s="28" t="inlineStr">
        <is>
          <t>Guilherme Storch</t>
        </is>
      </c>
      <c r="B9" s="28" t="inlineStr">
        <is>
          <t>storch7</t>
        </is>
      </c>
      <c r="C9" s="26">
        <f>SUMIF(Horas!$B:$B,$A9,Horas!$C:$C)</f>
        <v/>
      </c>
    </row>
    <row r="10">
      <c r="A10" s="28" t="inlineStr">
        <is>
          <t>Gustavo Roberto Silva de Melo</t>
        </is>
      </c>
      <c r="B10" s="28" t="inlineStr">
        <is>
          <t>gusrberto</t>
        </is>
      </c>
      <c r="C10" s="26">
        <f>SUMIF(Horas!$B:$B,$A10,Horas!$C:$C)</f>
        <v/>
      </c>
    </row>
    <row r="11">
      <c r="A11" s="28" t="inlineStr">
        <is>
          <t>Henrique Camelo Quenino</t>
        </is>
      </c>
      <c r="B11" s="28" t="inlineStr">
        <is>
          <t>henriquecq</t>
        </is>
      </c>
      <c r="C11" s="26">
        <f>SUMIF(Horas!$B:$B,$A11,Horas!$C:$C)</f>
        <v/>
      </c>
    </row>
    <row r="12">
      <c r="A12" s="28" t="inlineStr">
        <is>
          <t>Kathlyn Lara Murussi</t>
        </is>
      </c>
      <c r="B12" s="28" t="inlineStr">
        <is>
          <t>klmurussi</t>
        </is>
      </c>
      <c r="C12" s="26">
        <f>SUMIF(Horas!$B:$B,$A12,Horas!$C:$C)</f>
        <v/>
      </c>
    </row>
    <row r="13">
      <c r="A13" s="28" t="inlineStr">
        <is>
          <t>Lucas Bottino</t>
        </is>
      </c>
      <c r="B13" s="28" t="inlineStr">
        <is>
          <t>bottinolucas</t>
        </is>
      </c>
      <c r="C13" s="26">
        <f>SUMIF(Horas!$B:$B,$A13,Horas!$C:$C)</f>
        <v/>
      </c>
    </row>
    <row r="14">
      <c r="A14" s="28" t="inlineStr">
        <is>
          <t>Luciano Freitas</t>
        </is>
      </c>
      <c r="B14" s="28" t="inlineStr">
        <is>
          <t>luciano-freitas-melo</t>
        </is>
      </c>
      <c r="C14" s="26">
        <f>SUMIF(Horas!$B:$B,$A14,Horas!$C:$C)</f>
        <v/>
      </c>
    </row>
    <row r="15">
      <c r="A15" s="28" t="inlineStr">
        <is>
          <t>Luiza Maluf</t>
        </is>
      </c>
      <c r="B15" s="28" t="inlineStr">
        <is>
          <t>LuizaMaluf</t>
        </is>
      </c>
      <c r="C15" s="26">
        <f>SUMIF(Horas!$B:$B,$A15,Horas!$C:$C)</f>
        <v/>
      </c>
    </row>
    <row r="16">
      <c r="A16" s="28" t="inlineStr">
        <is>
          <t>Manoel Felipe Teixeira Neto</t>
        </is>
      </c>
      <c r="B16" s="28" t="inlineStr">
        <is>
          <t>Manoel835</t>
        </is>
      </c>
      <c r="C16" s="26">
        <f>SUMIF(Horas!$B:$B,$A16,Horas!$C:$C)</f>
        <v/>
      </c>
    </row>
    <row r="17">
      <c r="A17" s="28" t="inlineStr">
        <is>
          <t>Marcos Antonio Teles de Castilhos</t>
        </is>
      </c>
      <c r="B17" s="28" t="inlineStr">
        <is>
          <t>Marcosatc147</t>
        </is>
      </c>
      <c r="C17" s="26">
        <f>SUMIF(Horas!$B:$B,$A17,Horas!$C:$C)</f>
        <v/>
      </c>
    </row>
    <row r="18">
      <c r="A18" s="28" t="inlineStr">
        <is>
          <t>Milena Fernandes Rocha</t>
        </is>
      </c>
      <c r="B18" s="28" t="inlineStr">
        <is>
          <t>MilenaFRocha</t>
        </is>
      </c>
      <c r="C18" s="26">
        <f>SUMIF(Horas!$B:$B,$A18,Horas!$C:$C)</f>
        <v/>
      </c>
    </row>
    <row r="19">
      <c r="A19" s="28" t="inlineStr">
        <is>
          <t>Nathan Benigno Ponce de Abreu</t>
        </is>
      </c>
      <c r="B19" s="28" t="inlineStr">
        <is>
          <t>nateejpg</t>
        </is>
      </c>
      <c r="C19" s="26">
        <f>SUMIF(Horas!$B:$B,$A19,Horas!$C:$C)</f>
        <v/>
      </c>
    </row>
    <row r="20">
      <c r="A20" s="28" t="inlineStr">
        <is>
          <t>Pedro Sena Barbosa Holtz Yen</t>
        </is>
      </c>
      <c r="B20" s="28" t="inlineStr">
        <is>
          <t>pedrosena21</t>
        </is>
      </c>
      <c r="C20" s="26">
        <f>SUMIF(Horas!$B:$B,$A20,Horas!$C:$C)</f>
        <v/>
      </c>
    </row>
    <row r="21">
      <c r="A21" s="28" t="inlineStr">
        <is>
          <t>Wallyson Souza</t>
        </is>
      </c>
      <c r="B21" s="28" t="inlineStr">
        <is>
          <t>devwallyson</t>
        </is>
      </c>
      <c r="C21" s="26">
        <f>SUMIF(Horas!$B:$B,$A21,Horas!$C:$C)</f>
        <v/>
      </c>
    </row>
  </sheetData>
  <conditionalFormatting sqref="A2:C150">
    <cfRule type="expression" priority="1" dxfId="0">
      <formula>MOD(ROW(),2)=0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A8BA0"/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20" customWidth="1" min="5" max="5"/>
    <col width="16" customWidth="1" min="6" max="6"/>
    <col width="14" customWidth="1" min="7" max="7"/>
    <col width="16" customWidth="1" min="8" max="8"/>
  </cols>
  <sheetData>
    <row r="1" ht="30" customHeight="1">
      <c r="A1" s="22" t="inlineStr">
        <is>
          <t>escala</t>
        </is>
      </c>
      <c r="B1" s="22" t="inlineStr">
        <is>
          <t>probabilidade</t>
        </is>
      </c>
      <c r="C1" s="22" t="inlineStr">
        <is>
          <t>impacto</t>
        </is>
      </c>
      <c r="D1" s="22" t="inlineStr">
        <is>
          <t>resposta</t>
        </is>
      </c>
      <c r="E1" s="22" t="inlineStr">
        <is>
          <t>status</t>
        </is>
      </c>
      <c r="F1" s="22" t="inlineStr">
        <is>
          <t>categoria_EAR</t>
        </is>
      </c>
      <c r="G1" s="22" t="inlineStr">
        <is>
          <t>tipo_decisao</t>
        </is>
      </c>
      <c r="H1" s="22" t="inlineStr">
        <is>
          <t>pipeline_feito</t>
        </is>
      </c>
    </row>
    <row r="2">
      <c r="A2" s="20" t="n">
        <v>1</v>
      </c>
      <c r="B2" s="20" t="inlineStr">
        <is>
          <t>Muito baixa (0-19%)</t>
        </is>
      </c>
      <c r="C2" s="20" t="inlineStr">
        <is>
          <t>Muito baixo</t>
        </is>
      </c>
      <c r="D2" s="20" t="inlineStr">
        <is>
          <t>Evitar</t>
        </is>
      </c>
      <c r="E2" s="20" t="inlineStr">
        <is>
          <t>Aberto</t>
        </is>
      </c>
      <c r="F2" s="20" t="inlineStr">
        <is>
          <t>Técnico</t>
        </is>
      </c>
      <c r="G2" s="20" t="inlineStr">
        <is>
          <t>Técnica</t>
        </is>
      </c>
      <c r="H2" s="20" t="inlineStr">
        <is>
          <t>Done</t>
        </is>
      </c>
    </row>
    <row r="3">
      <c r="A3" s="20" t="n">
        <v>2</v>
      </c>
      <c r="B3" s="20" t="inlineStr">
        <is>
          <t>Baixa (20-39%)</t>
        </is>
      </c>
      <c r="C3" s="20" t="inlineStr">
        <is>
          <t>Baixo</t>
        </is>
      </c>
      <c r="D3" s="20" t="inlineStr">
        <is>
          <t>Mitigar</t>
        </is>
      </c>
      <c r="E3" s="20" t="inlineStr">
        <is>
          <t>Em monitoramento</t>
        </is>
      </c>
      <c r="F3" s="20" t="inlineStr">
        <is>
          <t>Gerencial</t>
        </is>
      </c>
      <c r="G3" s="20" t="inlineStr">
        <is>
          <t>Gerencial</t>
        </is>
      </c>
      <c r="H3" s="4" t="n"/>
    </row>
    <row r="4">
      <c r="A4" s="20" t="n">
        <v>3</v>
      </c>
      <c r="B4" s="20" t="inlineStr">
        <is>
          <t>Média (40-59%)</t>
        </is>
      </c>
      <c r="C4" s="20" t="inlineStr">
        <is>
          <t>Médio</t>
        </is>
      </c>
      <c r="D4" s="20" t="inlineStr">
        <is>
          <t>Transferir</t>
        </is>
      </c>
      <c r="E4" s="20" t="inlineStr">
        <is>
          <t>Materializado</t>
        </is>
      </c>
      <c r="F4" s="20" t="inlineStr">
        <is>
          <t>Organizacional</t>
        </is>
      </c>
      <c r="G4" s="4" t="n"/>
      <c r="H4" s="4" t="n"/>
    </row>
    <row r="5">
      <c r="A5" s="20" t="n">
        <v>4</v>
      </c>
      <c r="B5" s="20" t="inlineStr">
        <is>
          <t>Alta (60-79%)</t>
        </is>
      </c>
      <c r="C5" s="20" t="inlineStr">
        <is>
          <t>Alto</t>
        </is>
      </c>
      <c r="D5" s="20" t="inlineStr">
        <is>
          <t>Aceitar</t>
        </is>
      </c>
      <c r="E5" s="20" t="inlineStr">
        <is>
          <t>Encerrado</t>
        </is>
      </c>
      <c r="F5" s="20" t="inlineStr">
        <is>
          <t>Externo</t>
        </is>
      </c>
      <c r="G5" s="4" t="n"/>
      <c r="H5" s="4" t="n"/>
    </row>
    <row r="6">
      <c r="A6" s="20" t="n">
        <v>5</v>
      </c>
      <c r="B6" s="20" t="inlineStr">
        <is>
          <t>Muito alta (80-100%)</t>
        </is>
      </c>
      <c r="C6" s="20" t="inlineStr">
        <is>
          <t>Muito alto</t>
        </is>
      </c>
      <c r="D6" s="20" t="inlineStr">
        <is>
          <t>Escalar</t>
        </is>
      </c>
      <c r="E6" s="4" t="n"/>
      <c r="F6" s="4" t="n"/>
      <c r="G6" s="4" t="n"/>
      <c r="H6" s="4" t="n"/>
    </row>
  </sheetData>
  <conditionalFormatting sqref="A2:H150">
    <cfRule type="expression" priority="1" dxfId="0">
      <formula>MOD(ROW(),2)=0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2026-09-27T14:32:46Z</dcterms:created>
  <dcterms:modified xmlns:dcterms="http://purl.org/dc/terms/" xmlns:xsi="http://www.w3.org/2001/XMLSchema-instance" xsi:type="dcterms:W3CDTF">2026-09-27T14:32:46Z</dcterms:modified>
</cp:coreProperties>
</file>